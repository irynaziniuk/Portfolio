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EDA" sheetId="2" r:id="rId6"/>
    <sheet state="visible" name="SGL" sheetId="3" r:id="rId7"/>
    <sheet state="visible" name="Dashboard" sheetId="4" r:id="rId8"/>
    <sheet state="visible" name="Conclusions" sheetId="5" r:id="rId9"/>
  </sheets>
  <definedNames>
    <definedName hidden="1" localSheetId="1" name="_xlnm._FilterDatabase">EDA!$A$1:$M$601</definedName>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string</t>
      </text>
    </comment>
    <comment authorId="0" ref="B1">
      <text>
        <t xml:space="preserve">string</t>
      </text>
    </comment>
    <comment authorId="0" ref="C1">
      <text>
        <t xml:space="preserve">date</t>
      </text>
    </comment>
    <comment authorId="0" ref="E1">
      <text>
        <t xml:space="preserve">date</t>
      </text>
    </comment>
    <comment authorId="0" ref="F1">
      <text>
        <t xml:space="preserve">string</t>
      </text>
    </comment>
    <comment authorId="0" ref="G1">
      <text>
        <t xml:space="preserve">Floating Point</t>
      </text>
    </comment>
    <comment authorId="0" ref="H1">
      <text>
        <t xml:space="preserve">Integer</t>
      </text>
    </comment>
    <comment authorId="0" ref="I1">
      <text>
        <t xml:space="preserve">за замістом</t>
      </text>
    </comment>
    <comment authorId="0" ref="J1">
      <text>
        <t xml:space="preserve">Integer</t>
      </text>
    </comment>
    <comment authorId="0" ref="K1">
      <text>
        <t xml:space="preserve">string</t>
      </text>
    </comment>
    <comment authorId="0" ref="L1">
      <text>
        <t xml:space="preserve">string</t>
      </text>
    </comment>
    <comment authorId="0" ref="M1">
      <text>
        <t xml:space="preserve">boolean за замістом</t>
      </text>
    </comment>
  </commentList>
</comments>
</file>

<file path=xl/sharedStrings.xml><?xml version="1.0" encoding="utf-8"?>
<sst xmlns="http://schemas.openxmlformats.org/spreadsheetml/2006/main" count="6166" uniqueCount="1320">
  <si>
    <t>student_id</t>
  </si>
  <si>
    <t>course_id</t>
  </si>
  <si>
    <t>enroll_date</t>
  </si>
  <si>
    <t>completion_date</t>
  </si>
  <si>
    <t>course_category</t>
  </si>
  <si>
    <t>course_rating</t>
  </si>
  <si>
    <t>progress_percent</t>
  </si>
  <si>
    <t>completed</t>
  </si>
  <si>
    <t>hours_spent</t>
  </si>
  <si>
    <t>country</t>
  </si>
  <si>
    <t>device</t>
  </si>
  <si>
    <t>retained_after_30d</t>
  </si>
  <si>
    <t>cce730c3-9ef3-4908-98fd-9bbd3cf0f581</t>
  </si>
  <si>
    <t>c3646abb-6357-4ff9-888d-44307ebc13de</t>
  </si>
  <si>
    <t>Design</t>
  </si>
  <si>
    <t>Germany</t>
  </si>
  <si>
    <t>Tablet</t>
  </si>
  <si>
    <t>1c8eee56-baa9-41bd-8631-178c4e031945</t>
  </si>
  <si>
    <t>95a9248a-784c-4e23-ab91-2d50c8166c68</t>
  </si>
  <si>
    <t>UK</t>
  </si>
  <si>
    <t>3b698e92-f0b7-45c1-98f8-c5059e58adad</t>
  </si>
  <si>
    <t>d745141a-a0be-4ac0-810e-692097da03ce</t>
  </si>
  <si>
    <t>Business</t>
  </si>
  <si>
    <t>France</t>
  </si>
  <si>
    <t>d9466dbd-2174-4f99-8c1a-8c6c01c5887c</t>
  </si>
  <si>
    <t>22bb11df-c89a-49f5-be9b-0caf2704f618</t>
  </si>
  <si>
    <t>Mobile</t>
  </si>
  <si>
    <t>1bea3447-5bea-41c7-ab4d-f986e6fde451</t>
  </si>
  <si>
    <t>1a77e025-2a7b-4805-a5c5-0188d77a7525</t>
  </si>
  <si>
    <t>Data Science</t>
  </si>
  <si>
    <t>289a8ea6-642e-4b99-8fd3-3636bcfff1d5</t>
  </si>
  <si>
    <t>333a070a-b557-4b2e-af6a-91a96ef7371a</t>
  </si>
  <si>
    <t>USA</t>
  </si>
  <si>
    <t>bab505e1-4553-46f6-bc5b-a1f3a7578204</t>
  </si>
  <si>
    <t>f695765c-a26f-400a-ba3a-a285ffee86ae</t>
  </si>
  <si>
    <t>India</t>
  </si>
  <si>
    <t>2ea71ca3-dcc9-4308-aa6a-9dd40e633410</t>
  </si>
  <si>
    <t>1372c380-c140-441c-b635-8066e5d151bc</t>
  </si>
  <si>
    <t>Marketing</t>
  </si>
  <si>
    <t>6687893e-b67b-44a7-8b91-8a1597d6ac6e</t>
  </si>
  <si>
    <t>52d57a77-4a92-44b5-ad65-767a55d591cb</t>
  </si>
  <si>
    <t>5209afee-c45c-4646-bc03-aa6b4e728b5c</t>
  </si>
  <si>
    <t>88262933-ca7c-4fb9-b1f1-769142d77788</t>
  </si>
  <si>
    <t>ffa30b8e-fc9b-45d5-beb4-90941141d853</t>
  </si>
  <si>
    <t>d2d92ae0-0131-4401-a893-2907767aabdb</t>
  </si>
  <si>
    <t>373def54-c256-4f5a-8cf5-f57bff0152c2</t>
  </si>
  <si>
    <t>5b3d4dca-0197-4560-a54f-4179c5b0b029</t>
  </si>
  <si>
    <t>Desktop</t>
  </si>
  <si>
    <t>e5343efa-051f-4846-881b-7c410937b7d1</t>
  </si>
  <si>
    <t>18020988-974c-40b3-94e9-74068bf8d6f2</t>
  </si>
  <si>
    <t>700982ed-64b8-4640-bc21-47e219c8e6a7</t>
  </si>
  <si>
    <t>a285743e-2044-48d1-88c7-2ee8a69e49b2</t>
  </si>
  <si>
    <t>eeae577b-7f01-4a35-8620-b2e4a07ed3f0</t>
  </si>
  <si>
    <t>43b17f71-354e-4e9b-8d66-86182a2ea746</t>
  </si>
  <si>
    <t>afe9d25a-0a92-482e-b447-757a7e487596</t>
  </si>
  <si>
    <t>50f8768f-b8f6-44a9-8bb8-a3971705b698</t>
  </si>
  <si>
    <t>d9f704d8-a778-4f93-b391-da1abbf7c7f1</t>
  </si>
  <si>
    <t>db0f0720-758a-4873-bf46-019ec0db9f93</t>
  </si>
  <si>
    <t>36ee6d3c-95ff-4c64-ac5d-cf0877ba4c3b</t>
  </si>
  <si>
    <t>1d8f34d9-3c13-44eb-9c8d-04b41a067c6e</t>
  </si>
  <si>
    <t>6399a1d2-b5be-4cde-9399-a0728700f97c</t>
  </si>
  <si>
    <t>4742adef-d0f2-48f8-afda-6b3a5e75e267</t>
  </si>
  <si>
    <t>ad268ad8-afdd-4ee4-a4a5-d3babe93afce</t>
  </si>
  <si>
    <t>10b94515-0727-41ba-a43c-f05a62e973d6</t>
  </si>
  <si>
    <t>41452e61-0c74-4c90-8712-a8a5613f1e69</t>
  </si>
  <si>
    <t>5bf42cae-25ca-4f21-94ab-7e67aba11ae3</t>
  </si>
  <si>
    <t>83b951f1-534b-40c3-97d9-ca4b9005f644</t>
  </si>
  <si>
    <t>0a1ef423-c774-4f6f-b3cf-95610dacd533</t>
  </si>
  <si>
    <t>fb366f4c-6e51-4e45-8552-17da04f1bf72</t>
  </si>
  <si>
    <t>1a7ebc6e-cb13-4fa0-a78b-8f470400fc00</t>
  </si>
  <si>
    <t>44ae1d15-95f9-415f-b5c1-860020e8643e</t>
  </si>
  <si>
    <t>4d5dfd0c-5b89-460d-bf9c-4067d85ffa98</t>
  </si>
  <si>
    <t>95a75e2f-cedb-4dcd-acaf-9c00752e4b48</t>
  </si>
  <si>
    <t>fdcaa6b6-3633-478c-9932-97f50559300b</t>
  </si>
  <si>
    <t>abf5ad77-6b08-4072-99d0-6c3ffc1c99e2</t>
  </si>
  <si>
    <t>6f630d69-66d7-4b3f-92cd-ce83d6a1ce06</t>
  </si>
  <si>
    <t>8268a58c-fb4b-42bf-8b67-32b7e943d134</t>
  </si>
  <si>
    <t>66aa5ddf-1a0a-484c-a00d-3f4d56a7e7b7</t>
  </si>
  <si>
    <t>b93f08ee-5d61-4bce-beda-1b6d82ec4d5a</t>
  </si>
  <si>
    <t>0571bb4d-3cd7-4d44-88f9-05859805c3f5</t>
  </si>
  <si>
    <t>90a68172-f944-4054-9f2a-17a58a34db0d</t>
  </si>
  <si>
    <t>ed3adabb-4224-4117-94ce-5194929f5dc4</t>
  </si>
  <si>
    <t>169b1c5b-5707-435d-84b2-d266376407b6</t>
  </si>
  <si>
    <t>c46ed6d5-ade6-4f76-9ff1-022102c3e287</t>
  </si>
  <si>
    <t>c0bb3a74-e5dc-4bf5-896a-3496066308ca</t>
  </si>
  <si>
    <t>24902e0b-e1f4-46d1-9f75-5ba15aa128f8</t>
  </si>
  <si>
    <t>0d76aa16-2605-4ad2-9e4b-45b57cbb6187</t>
  </si>
  <si>
    <t>b0a0a5ec-b143-41a8-a772-b000ee9c0a32</t>
  </si>
  <si>
    <t>4c31e6d4-7d7c-4a3b-85b1-fe33d7385185</t>
  </si>
  <si>
    <t>96a766c7-d8d7-4728-a19d-d3464232eaf9</t>
  </si>
  <si>
    <t>28cc9682-41da-4cf8-8cbc-2705fe4ccd1f</t>
  </si>
  <si>
    <t>d9a74708-71ef-4a7e-9304-395e6678b0c1</t>
  </si>
  <si>
    <t>0f266902-f574-455f-8e85-6b8622c66d8e</t>
  </si>
  <si>
    <t>e0371364-ea81-4930-b7d3-39f4749c13dd</t>
  </si>
  <si>
    <t>91b42016-c95d-4b81-b083-4b5891d3fe14</t>
  </si>
  <si>
    <t>fce3de29-0a78-4854-8211-83e86e09ff08</t>
  </si>
  <si>
    <t>8c08e75a-40ba-4a0f-a0b7-218152b7f01d</t>
  </si>
  <si>
    <t>0dfb75cf-59d8-4ac1-b3d1-f783e311da73</t>
  </si>
  <si>
    <t>b5357b2c-8e19-46f2-aa07-5f63fafc2ca6</t>
  </si>
  <si>
    <t>1af6580f-6d75-4252-b454-ae534b20e116</t>
  </si>
  <si>
    <t>2e94b6f5-aaba-4a17-bff9-ae301bf93bcb</t>
  </si>
  <si>
    <t>deae11e3-0aaa-4f95-af2c-eb958c803657</t>
  </si>
  <si>
    <t>8e56f251-83cc-4836-9441-1a75b988eb62</t>
  </si>
  <si>
    <t>a3857fdb-59af-4adf-bad4-da061c10d6c9</t>
  </si>
  <si>
    <t>9ea4df83-7f0a-420b-9366-ac1d6515398c</t>
  </si>
  <si>
    <t>48ac7add-5aad-4917-8eda-dd69d5d49900</t>
  </si>
  <si>
    <t>7a07a821-c82f-4d09-b859-6fdb24583070</t>
  </si>
  <si>
    <t>87f89f4b-61c2-4e42-8eeb-ce64bb8eb038</t>
  </si>
  <si>
    <t>bf716e65-a53f-4bec-bbd3-1fc1cfda1add</t>
  </si>
  <si>
    <t>cd32b47c-631d-4eeb-8a19-1c6961c365dd</t>
  </si>
  <si>
    <t>064f94bf-0ef8-4629-893f-222b0b8fefe4</t>
  </si>
  <si>
    <t>9a47f697-e37f-4848-981d-6daaa368447b</t>
  </si>
  <si>
    <t>8158281f-ea72-4f3c-a7ce-d951d9236205</t>
  </si>
  <si>
    <t>7ab0ef24-75f6-492b-bcd5-bf28f85cc2f4</t>
  </si>
  <si>
    <t>acb342d4-1cab-44bd-99f9-a2b6c0bb25f9</t>
  </si>
  <si>
    <t>fbd40de9-f004-4b70-9d0d-ae1db81d5281</t>
  </si>
  <si>
    <t>11235205-3b9f-4f0d-9c01-75d8c3d199f2</t>
  </si>
  <si>
    <t>9087b05a-3c0b-430d-9113-9fa2fe597ccb</t>
  </si>
  <si>
    <t>6c9073b3-8df0-4247-9bed-616784d9c357</t>
  </si>
  <si>
    <t>a0375c1a-c466-4d1e-8598-e34a784c39fd</t>
  </si>
  <si>
    <t>38516f38-57de-43a2-a11c-8ae063e3ece8</t>
  </si>
  <si>
    <t>48b9c111-b185-4897-9844-38716d0925e8</t>
  </si>
  <si>
    <t>d9954086-cccc-4ce0-a01d-ad41051018cd</t>
  </si>
  <si>
    <t>f86a42d6-db50-4184-9b61-398553fa10a2</t>
  </si>
  <si>
    <t>2b9f85bb-5361-4a42-ae6d-b913698b3a44</t>
  </si>
  <si>
    <t>a449a73b-21d4-41b7-ae45-683cb467d8ac</t>
  </si>
  <si>
    <t>7d854317-e7c1-40f7-b4c5-da3ea3bbf785</t>
  </si>
  <si>
    <t>b72af937-473f-48a2-b8d6-03a3a468336e</t>
  </si>
  <si>
    <t>6226ca5f-dfc5-4dbc-b040-5b275cd5a2c1</t>
  </si>
  <si>
    <t>293d0b14-c254-4151-bf9a-75dc5317ccb3</t>
  </si>
  <si>
    <t>c0a08497-3d5a-4872-9ce1-6a2239a7c94b</t>
  </si>
  <si>
    <t>0344324f-982f-40a9-80d6-216a07bc5630</t>
  </si>
  <si>
    <t>34156cda-e537-4db1-ad4a-905ef931b13e</t>
  </si>
  <si>
    <t>83eecb40-f1a9-4855-a5f0-9c8564469e42</t>
  </si>
  <si>
    <t>139c77c9-91bf-4715-bebe-8ad07714d461</t>
  </si>
  <si>
    <t>0fde45c5-ddf5-452d-9ad0-53de6fd6f23f</t>
  </si>
  <si>
    <t>b36a87ad-c410-48bc-9d27-2d89376acba9</t>
  </si>
  <si>
    <t>49a815dc-7f51-48de-9812-8635495deb56</t>
  </si>
  <si>
    <t>196b9e48-576d-4b43-b779-f15b8d650fb6</t>
  </si>
  <si>
    <t>7a6828fa-2644-4bf4-9c26-4c5685f48fdd</t>
  </si>
  <si>
    <t>59f748fb-04bf-40f7-bb23-bf3fff9d948e</t>
  </si>
  <si>
    <t>331fa529-c707-4b28-8b87-3a66e8847154</t>
  </si>
  <si>
    <t>c053be0e-bc66-49ca-be4b-d68be4ca4aa4</t>
  </si>
  <si>
    <t>044ed322-8c98-4c49-b540-33b718ac3907</t>
  </si>
  <si>
    <t>f67657d1-2078-45d6-b660-9103058cac56</t>
  </si>
  <si>
    <t>af6ffe8d-c240-4268-9f18-98c3aa9c2d75</t>
  </si>
  <si>
    <t>637aca1d-ea0d-4e68-b903-a62dea1e7752</t>
  </si>
  <si>
    <t>e99f4f84-f17b-493b-accf-e5b6393e50da</t>
  </si>
  <si>
    <t>37278155-f463-4bf8-937c-8ab1ce979d86</t>
  </si>
  <si>
    <t>944251ba-5553-4ac5-9ca7-7cd29d81268c</t>
  </si>
  <si>
    <t>ffa509a1-da95-444b-845f-0f5f62fd7800</t>
  </si>
  <si>
    <t>468221c8-c3f6-4326-a003-12ad7ebe037b</t>
  </si>
  <si>
    <t>35bba6f5-9f03-406d-a19d-e20cf5a84782</t>
  </si>
  <si>
    <t>9200567f-5fc8-44ed-9eaf-d724c59432e6</t>
  </si>
  <si>
    <t>4c888f86-ff8c-47cc-864d-bc43672ac72d</t>
  </si>
  <si>
    <t>58c8d6af-0ce7-4215-b3b7-95372b6abaef</t>
  </si>
  <si>
    <t>864cf519-447b-4f94-9e39-c2a8c35e9ebf</t>
  </si>
  <si>
    <t>d88009f8-c32b-412a-af84-dc55c39d90fa</t>
  </si>
  <si>
    <t>fee9050f-f4d5-45fe-b010-ca0ed16172f4</t>
  </si>
  <si>
    <t>dcb5701c-e897-4c55-b86b-76b7a0cfe9f5</t>
  </si>
  <si>
    <t>5489dea3-3700-4b57-b7a4-9641c50ee50b</t>
  </si>
  <si>
    <t>2719a4b7-8186-4a79-870b-93875ae83c9a</t>
  </si>
  <si>
    <t>1a876490-6bc0-47af-b348-d420b6605c8d</t>
  </si>
  <si>
    <t>e5810335-39a6-4b98-a741-d020b4a42888</t>
  </si>
  <si>
    <t>1b67be6a-1da8-4911-a87f-97152f64aa0c</t>
  </si>
  <si>
    <t>062e35b8-2580-42a2-bf96-4bd9f93a0f7b</t>
  </si>
  <si>
    <t>0a34886c-802e-4a41-86bc-6b82f5943dda</t>
  </si>
  <si>
    <t>4a5f7899-ee82-4918-b805-1d7499aa0225</t>
  </si>
  <si>
    <t>8232c528-ae1f-4118-97b0-473f5c139103</t>
  </si>
  <si>
    <t>f19159a2-7e48-4e2b-8fcd-9a153e62515c</t>
  </si>
  <si>
    <t>a19ba579-33cb-4771-af57-aa50e74d326c</t>
  </si>
  <si>
    <t>bd954e6a-b683-4371-ae12-8959bf4ec039</t>
  </si>
  <si>
    <t>172c1998-6417-4908-9d38-a996f340ca80</t>
  </si>
  <si>
    <t>a8ca44c9-5d02-40c5-9aac-21c211ff8519</t>
  </si>
  <si>
    <t>c0a0f7c0-9d72-4317-a93d-e507f79a890f</t>
  </si>
  <si>
    <t>11cbb930-94d0-4262-a965-2ff98a2e8edf</t>
  </si>
  <si>
    <t>e68f2449-78f4-48d8-a0c3-47f0f30a5d9c</t>
  </si>
  <si>
    <t>9d744daf-9b9f-463f-aedb-f4c9ca46ab7f</t>
  </si>
  <si>
    <t>4385c93f-c219-45a3-ac69-5d61b24a85c0</t>
  </si>
  <si>
    <t>9a6cb009-a626-41c6-adee-ba7dbcc2016b</t>
  </si>
  <si>
    <t>88f5b9e6-e83d-4800-a114-f27e19310e1a</t>
  </si>
  <si>
    <t>a616ad7b-0eb0-49f6-a8a7-02b14417110f</t>
  </si>
  <si>
    <t>ae7f1201-293f-4355-9522-d82dc46b3233</t>
  </si>
  <si>
    <t>14318eb0-9a04-4183-81f1-35fb8968e5e1</t>
  </si>
  <si>
    <t>b42bc50d-c553-4664-abf9-a5fea7cc0766</t>
  </si>
  <si>
    <t>0de90230-6ba7-4a7e-a282-90c0b7ddeba8</t>
  </si>
  <si>
    <t>024d4ab1-0f79-4c69-9380-d67510935b1e</t>
  </si>
  <si>
    <t>8492d15c-884a-40ba-99fe-435431fb7e4c</t>
  </si>
  <si>
    <t>a39bca8b-6276-4744-8a51-3cb176d99cba</t>
  </si>
  <si>
    <t>e6bf1f3d-7da0-424e-9fc2-21a9bd4cc455</t>
  </si>
  <si>
    <t>6b87c88f-b227-4afd-8e6f-dea24116933e</t>
  </si>
  <si>
    <t>875a67a4-1b26-42b0-829d-6457e69fd844</t>
  </si>
  <si>
    <t>09584d18-42a2-48aa-a0ab-508b75f9277c</t>
  </si>
  <si>
    <t>c277908c-0356-4867-ad73-013a4334ebf4</t>
  </si>
  <si>
    <t>03cc8bf9-6862-403f-b55d-aee71f2ba3e9</t>
  </si>
  <si>
    <t>a7458a9c-7980-4e26-a0ab-32a1ccd44726</t>
  </si>
  <si>
    <t>74fc3d01-2420-4519-805c-ef0650006b54</t>
  </si>
  <si>
    <t>375b3ffa-e1a3-432f-8087-f8b34ca5db45</t>
  </si>
  <si>
    <t>ab21ce77-9426-4590-a7cb-6ffd5ec6dc4a</t>
  </si>
  <si>
    <t>e3b8e422-a2af-4c46-8533-0e99dbafeb63</t>
  </si>
  <si>
    <t>4d90f38e-ad69-4131-920c-131ff94cde5e</t>
  </si>
  <si>
    <t>fe362397-6bc2-4163-9369-32fcec1c4d5c</t>
  </si>
  <si>
    <t>ef9d2194-45c3-44ff-875d-d2371d0f4614</t>
  </si>
  <si>
    <t>fd963c21-6a30-40f9-b8da-c5cc9555a61f</t>
  </si>
  <si>
    <t>03a5fab2-a04d-4ed4-be56-ed9f507de9cf</t>
  </si>
  <si>
    <t>29a5b4de-bb01-40ca-944f-b50cebb9270b</t>
  </si>
  <si>
    <t>3480604b-abfe-4497-b807-3bcaf78477c7</t>
  </si>
  <si>
    <t>e53f9d85-183e-487b-b6c1-26af89911612</t>
  </si>
  <si>
    <t>0ec7c92e-b36d-4c16-a3cc-0cc1274e9b70</t>
  </si>
  <si>
    <t>46e164de-82e6-41f2-9e3b-0d08e579830d</t>
  </si>
  <si>
    <t>399852a0-bd1b-4102-8d5c-141d6cf49ca8</t>
  </si>
  <si>
    <t>4d644dd1-b427-4f96-a367-41ee560b8db6</t>
  </si>
  <si>
    <t>7360ee70-5c31-445f-b1cf-a7310c273afa</t>
  </si>
  <si>
    <t>2789e561-747a-439a-aadf-28328271b43b</t>
  </si>
  <si>
    <t>aab70121-9f76-41a2-a56a-3628f6e16997</t>
  </si>
  <si>
    <t>935fe07f-08b9-47e2-a4ba-8e01b723529d</t>
  </si>
  <si>
    <t>786fcb82-40cf-4dc9-b9ba-2541502ca95a</t>
  </si>
  <si>
    <t>de580cf1-82e8-4b5b-ac34-fac4adffb59f</t>
  </si>
  <si>
    <t>b320bb80-ce69-47e2-8578-17246dd77797</t>
  </si>
  <si>
    <t>7ee4a7d1-f089-4ec8-9d1b-bcaabfa761be</t>
  </si>
  <si>
    <t>7a22f030-443e-4df9-9cb3-fe0dc0cc741d</t>
  </si>
  <si>
    <t>f48a8adc-0354-4b76-b3d3-2fcfd4c870f7</t>
  </si>
  <si>
    <t>aaabb8a7-b6bb-4b0e-b9a1-e2a9948ecb70</t>
  </si>
  <si>
    <t>b89c5e74-5a2f-4386-8d32-69fb73838282</t>
  </si>
  <si>
    <t>bd132d80-a915-490f-9ac8-595c1589043b</t>
  </si>
  <si>
    <t>cee65c12-efb7-47b4-aa05-a6c750974120</t>
  </si>
  <si>
    <t>ad1c7e09-feb9-49c5-bc99-4a970fead2ec</t>
  </si>
  <si>
    <t>22ed1c5f-963d-4714-8c91-47b2bf63cdec</t>
  </si>
  <si>
    <t>6d10bde4-d032-4a3b-86de-022fac19fdf9</t>
  </si>
  <si>
    <t>b917ea68-1d83-4c86-b943-346109dc46f2</t>
  </si>
  <si>
    <t>18f40db9-d6b1-4e90-ae75-e67b95af670e</t>
  </si>
  <si>
    <t>38c1608a-e634-4141-b569-90df6e2a2b5e</t>
  </si>
  <si>
    <t>f7aa009b-8d6e-40b0-a019-2110cbc4740f</t>
  </si>
  <si>
    <t>632927c5-7851-46ac-812d-3a1ae21c4499</t>
  </si>
  <si>
    <t>2ab65260-ade6-459c-9868-fa18cf5dc6dc</t>
  </si>
  <si>
    <t>4593adb5-7e17-4ac0-8a17-c43029b1f0c4</t>
  </si>
  <si>
    <t>116c00eb-243f-42b4-ab25-68c03c82b15f</t>
  </si>
  <si>
    <t>72686416-0a5b-412f-9796-88e7be6ea5f5</t>
  </si>
  <si>
    <t>950ad366-e0ab-42b8-9dd5-ec62ae0e22f6</t>
  </si>
  <si>
    <t>ef523332-c690-43d7-b4ac-bc7e707bd474</t>
  </si>
  <si>
    <t>58dbfaa7-f3fa-448e-bfa5-3ae524947600</t>
  </si>
  <si>
    <t>babe1086-f29f-407b-b49e-471fa783a07b</t>
  </si>
  <si>
    <t>aa741eb5-e680-4802-b8cc-5cecda992d44</t>
  </si>
  <si>
    <t>4b4fa022-b691-4c9f-866e-46fe6b2ceda8</t>
  </si>
  <si>
    <t>b5529380-3797-4a55-8149-13f87b108d52</t>
  </si>
  <si>
    <t>24636bc3-2615-45b9-94c2-e1d8ba0480a7</t>
  </si>
  <si>
    <t>de21eb83-5d37-4b75-a9ff-deae2154986f</t>
  </si>
  <si>
    <t>372f5318-8dd7-4323-987f-90bd60421a27</t>
  </si>
  <si>
    <t>b0fa2630-9371-4ea7-9065-208acea43229</t>
  </si>
  <si>
    <t>e93529e5-0036-4346-a3b0-d6a095fcd937</t>
  </si>
  <si>
    <t>bce3f115-d894-490e-9d29-4641340305ca</t>
  </si>
  <si>
    <t>215f6ed0-89e5-4ef2-879c-2d2ba74a4354</t>
  </si>
  <si>
    <t>562bed61-d985-4311-b3f2-88d447ed18b9</t>
  </si>
  <si>
    <t>ef6965bb-53b6-44f5-bf2a-cc18f9d871ad</t>
  </si>
  <si>
    <t>7677b8e0-4b71-42bb-9852-d52e299193ca</t>
  </si>
  <si>
    <t>c58ffcbe-861c-486b-87ec-16ce4ee7061c</t>
  </si>
  <si>
    <t>80a691e1-3ef0-449f-9321-b911289dca54</t>
  </si>
  <si>
    <t>2c70bbff-290d-4971-afc5-017d796323de</t>
  </si>
  <si>
    <t>1ad98fed-6008-47bb-8221-61c47e2ae692</t>
  </si>
  <si>
    <t>19831cdd-1adb-4087-a0d9-ba7a7caf256d</t>
  </si>
  <si>
    <t>7397cdd6-2cb5-454c-b4fa-e37fa1c2b9c5</t>
  </si>
  <si>
    <t>6d52250a-9504-40a1-8ccd-bb21868b4ca2</t>
  </si>
  <si>
    <t>ac582ac4-14f4-4448-b6ff-9d8b07789c67</t>
  </si>
  <si>
    <t>dfa9bcf0-6aac-4694-9fa3-f1b6c69400d4</t>
  </si>
  <si>
    <t>c474a200-f0a5-41be-a31f-b1b7bc3e4051</t>
  </si>
  <si>
    <t>130e7fb3-30dd-493e-8ea0-e0ffe80249a1</t>
  </si>
  <si>
    <t>8e45ff89-a4ac-43d6-9e6f-59162848213e</t>
  </si>
  <si>
    <t>359bc58b-914b-4ce5-983b-6e83be4cfa54</t>
  </si>
  <si>
    <t>c7bf4779-e973-4304-9b3f-ab5c25817a5a</t>
  </si>
  <si>
    <t>28eb4f1a-046f-48fb-bfdf-5feb40158586</t>
  </si>
  <si>
    <t>ef9c94f2-1519-47c7-b410-aa2963422883</t>
  </si>
  <si>
    <t>81692c17-130a-4f7c-8cda-4a752a46674d</t>
  </si>
  <si>
    <t>af370332-864c-4bc6-9505-cc2ff8976ffa</t>
  </si>
  <si>
    <t>46bcc5bc-ad3a-42f3-a119-c8697d4f8855</t>
  </si>
  <si>
    <t>673e994f-5f36-405e-9dec-636288d4148b</t>
  </si>
  <si>
    <t>302ad879-a68b-4f2d-b3e1-0a937e3ddc2e</t>
  </si>
  <si>
    <t>69c08294-c6e9-4b23-8590-1647b60d4931</t>
  </si>
  <si>
    <t>49e86c3b-afdd-4fbb-94e9-b1deb4eb1e34</t>
  </si>
  <si>
    <t>26f101d4-a868-4fd0-ad71-d400f6cf4e7a</t>
  </si>
  <si>
    <t>3c03cfc3-c684-4f69-a68e-affe0714aef6</t>
  </si>
  <si>
    <t>74646e38-581c-45bc-b72d-de3f32a37d10</t>
  </si>
  <si>
    <t>b8aa61fc-20ce-4104-a519-04dbd816a55f</t>
  </si>
  <si>
    <t>d48d9384-ce96-4431-b46b-c79829016262</t>
  </si>
  <si>
    <t>80cb3fd0-a731-4bc5-98d4-26aa2d23e3aa</t>
  </si>
  <si>
    <t>78188b69-9f2f-42d6-9674-4346a4685f64</t>
  </si>
  <si>
    <t>5861c593-0a7b-4819-a0c1-6d5023c1d9ce</t>
  </si>
  <si>
    <t>f8fa7299-8fc2-4640-ab3a-9131cfe3c2e8</t>
  </si>
  <si>
    <t>32ec42ff-a2e3-4f81-ae79-01c7ed0f3b81</t>
  </si>
  <si>
    <t>f9fdae73-6f40-4cfc-ab9f-053e11a0abb6</t>
  </si>
  <si>
    <t>eec8cf25-a611-4120-9828-99714492b0fb</t>
  </si>
  <si>
    <t>59e7659c-3bc9-4c59-8139-6d1a8ceceb63</t>
  </si>
  <si>
    <t>505378ae-62b7-4142-8621-2ff765e8dd25</t>
  </si>
  <si>
    <t>bc1669d6-3c1a-44cf-a71b-d0d9667946f8</t>
  </si>
  <si>
    <t>543c6c18-ef69-4442-ad2c-53ec1bd58871</t>
  </si>
  <si>
    <t>b3f59339-4676-4792-aec4-6a36c7a02d7c</t>
  </si>
  <si>
    <t>c05e2d0b-b39e-4325-b779-ccdf7058df85</t>
  </si>
  <si>
    <t>06b91d3d-2efe-493b-9f00-2b5a7c1e3a6e</t>
  </si>
  <si>
    <t>9530d3d5-a5bb-430b-a780-0ea8ebb24418</t>
  </si>
  <si>
    <t>54e8084c-bd95-45b9-be39-f2968f501c59</t>
  </si>
  <si>
    <t>5239cd7a-a620-461e-9248-23f6b4b9879b</t>
  </si>
  <si>
    <t>4280ea37-ccd3-42ee-8b73-fb3c5b32db8e</t>
  </si>
  <si>
    <t>a6c9b241-53ca-4f8e-96a8-3fd917af2503</t>
  </si>
  <si>
    <t>1507430c-4971-4af4-89a2-97585fb6351e</t>
  </si>
  <si>
    <t>7415d3bf-513f-402c-8e21-0d34e34267ea</t>
  </si>
  <si>
    <t>3b3aa572-7475-4abb-8ddf-8e7a35ccc420</t>
  </si>
  <si>
    <t>998a1858-5f61-4096-8b87-4ce240b61017</t>
  </si>
  <si>
    <t>fd6f2758-09c6-4817-82b4-db61995cced9</t>
  </si>
  <si>
    <t>db01d767-6ac3-4ac7-a6f5-cfa6179e7b9e</t>
  </si>
  <si>
    <t>6c7bd3fe-ae7d-4c14-bafc-1ac31811321d</t>
  </si>
  <si>
    <t>688215ad-9a90-4f76-992c-0f5ad99fa0e9</t>
  </si>
  <si>
    <t>cc070722-552e-4bb0-8052-e1b71ee9cbbb</t>
  </si>
  <si>
    <t>dd587ca0-7f96-4177-9478-6d4b8646af16</t>
  </si>
  <si>
    <t>ae3fad60-5119-4cdb-b22d-debfb547e93f</t>
  </si>
  <si>
    <t>2f071432-4ec0-48d6-afd8-b22b9a6284d6</t>
  </si>
  <si>
    <t>b0f6643d-c4c4-4010-bb5a-2c9951940eaa</t>
  </si>
  <si>
    <t>3f9d178c-99f7-4937-b48e-1d64ce93e03e</t>
  </si>
  <si>
    <t>a8af8702-96f7-4709-9e1c-0efd885eba3b</t>
  </si>
  <si>
    <t>2b11052a-3626-49df-acbe-143d8ae17b9a</t>
  </si>
  <si>
    <t>e3b57e5b-ec0d-49c6-83c9-8b69ee2a6d3f</t>
  </si>
  <si>
    <t>b2fc73ea-eb60-443d-b37b-36aac26e7e9f</t>
  </si>
  <si>
    <t>3ad88a3c-befd-4012-8e0b-4dce5d20309b</t>
  </si>
  <si>
    <t>52e411d0-46b9-46af-b018-3fa7625023a4</t>
  </si>
  <si>
    <t>2125ec3a-2dae-4665-aaa3-0447c1c46717</t>
  </si>
  <si>
    <t>2f2f9420-23e4-4313-8b29-94f5bf6bee62</t>
  </si>
  <si>
    <t>859029b9-a948-4a9a-b697-e50c01cb171a</t>
  </si>
  <si>
    <t>f822c528-eb02-4ca0-8f78-7dba219221c7</t>
  </si>
  <si>
    <t>8afdd391-cc41-45e1-ac15-8742e7deda7b</t>
  </si>
  <si>
    <t>8534af6a-11e8-422d-8072-5d931a09bce7</t>
  </si>
  <si>
    <t>850923b3-d4a8-43c7-af51-0abccebc5c23</t>
  </si>
  <si>
    <t>d873ebcb-fbc4-41d0-82ee-8c58ecea7b07</t>
  </si>
  <si>
    <t>212193eb-d9f6-4946-83c4-52e19ce07e6d</t>
  </si>
  <si>
    <t>357a144d-b3f2-4b17-b0c7-5b3359861e5e</t>
  </si>
  <si>
    <t>14fc02f0-7b85-4413-a222-8d40d4f87897</t>
  </si>
  <si>
    <t>a930360c-360d-40d3-afe9-2a2b900c097a</t>
  </si>
  <si>
    <t>14e99b77-fae7-4dd2-9403-295e2190131d</t>
  </si>
  <si>
    <t>42cbb4a8-68c2-49b1-bc38-6fb98c3a19ff</t>
  </si>
  <si>
    <t>15bc455d-2424-4679-86ea-3809a3128f0d</t>
  </si>
  <si>
    <t>ad176836-557c-40bd-b382-e63208a7221e</t>
  </si>
  <si>
    <t>6827778b-85fb-4a40-812e-414af5d0d19a</t>
  </si>
  <si>
    <t>919d0c06-429d-42b5-ba22-0b80fd67888c</t>
  </si>
  <si>
    <t>8757c725-951f-4564-b551-26c9d3894c0e</t>
  </si>
  <si>
    <t>81df9a17-13b8-4566-8a93-b88838dc26d0</t>
  </si>
  <si>
    <t>e705399a-c287-47be-b589-01b7b4aeeccf</t>
  </si>
  <si>
    <t>a0fcf11f-81d4-44a0-a2af-072dd10132fc</t>
  </si>
  <si>
    <t>74ee5979-663b-435d-96c9-9850fef666b1</t>
  </si>
  <si>
    <t>db8cd56e-a976-4bbb-805a-081ecca50e90</t>
  </si>
  <si>
    <t>fe784b3d-0be8-4882-8e2a-28e18100f337</t>
  </si>
  <si>
    <t>5a6e1090-850f-4aae-b00e-a3461bf9a01f</t>
  </si>
  <si>
    <t>d40370bb-a870-433e-ad97-7ed1e9c60041</t>
  </si>
  <si>
    <t>623bc3cd-2d78-4b7a-a9ae-672615f8850e</t>
  </si>
  <si>
    <t>c62338f0-e0f7-4788-a3a8-9885976690be</t>
  </si>
  <si>
    <t>1acc2106-eafb-41d5-816d-758de359e6a8</t>
  </si>
  <si>
    <t>b6a8fba6-368c-4608-b9bf-01681184ea07</t>
  </si>
  <si>
    <t>ea656ddc-68c5-407f-8dca-eb0096cbafff</t>
  </si>
  <si>
    <t>abc42a9b-ed6b-4634-a2e8-ff22fcc37500</t>
  </si>
  <si>
    <t>00a89d2b-e1f4-4a00-a5ca-92bd745dc319</t>
  </si>
  <si>
    <t>835d9009-d564-42c2-b9bc-b33d48a86329</t>
  </si>
  <si>
    <t>ca727811-fd6c-4701-8faf-dcff2c686867</t>
  </si>
  <si>
    <t>67cde34e-6298-43ff-a747-c84636dd01f7</t>
  </si>
  <si>
    <t>1618a9fe-79fe-4066-b9f8-f4c96db77b10</t>
  </si>
  <si>
    <t>acca9ad1-9dd6-4565-ab32-ca34bc39653c</t>
  </si>
  <si>
    <t>e5a10523-0b9c-4bf0-9dfe-c8d04589a717</t>
  </si>
  <si>
    <t>57ef3906-2c22-42f8-a1c9-c177aa1fbae1</t>
  </si>
  <si>
    <t>3b49b6bb-c39f-4d89-9b04-ddeaa075547d</t>
  </si>
  <si>
    <t>73d221b4-4f12-4f81-9119-3cd737105c79</t>
  </si>
  <si>
    <t>e8f90d40-5027-4549-b5f2-e0131a9f108b</t>
  </si>
  <si>
    <t>9dd10b5c-444a-4860-9426-35bc708cd1b7</t>
  </si>
  <si>
    <t>c301bbf7-23b6-4edd-a5d5-446e415d3230</t>
  </si>
  <si>
    <t>bdfd92a6-e9b2-4a4a-81fc-6a7e5640cd1c</t>
  </si>
  <si>
    <t>0b04ceb9-9fe0-4a14-bae2-a4d5bb03da5b</t>
  </si>
  <si>
    <t>7fa5a7af-febf-4aad-b146-8a76a3627ace</t>
  </si>
  <si>
    <t>21d1b44f-20dc-48c0-a368-829610e6eabe</t>
  </si>
  <si>
    <t>b16b655a-f8ad-43a3-8353-1bf5c3674b96</t>
  </si>
  <si>
    <t>93e4a54f-9a4a-4ab9-8f8e-eff9649d8a0d</t>
  </si>
  <si>
    <t>b2263ba3-9e88-4219-9e37-cfa5be61e519</t>
  </si>
  <si>
    <t>a68b755f-acdd-4c7d-a9f4-862da0fc99c7</t>
  </si>
  <si>
    <t>d5825715-56fc-4775-abd5-fd0634c4a9f5</t>
  </si>
  <si>
    <t>74e011b5-d892-419e-bcad-74fde17532e5</t>
  </si>
  <si>
    <t>7c53fa9f-047a-4a05-8794-b23adee42457</t>
  </si>
  <si>
    <t>bde91174-a71f-45ac-ab86-2978ed0ebd14</t>
  </si>
  <si>
    <t>7eee5b83-d06e-4083-9927-a755f93f4205</t>
  </si>
  <si>
    <t>bfe95dfe-7822-47dd-a3de-42bbd777a742</t>
  </si>
  <si>
    <t>b28ac279-d8b0-4e6c-a5af-82633cf93b15</t>
  </si>
  <si>
    <t>9bf7a6cf-71bc-4feb-b6ea-95ed4e330450</t>
  </si>
  <si>
    <t>d7982e0b-6903-4c3f-9e15-8bb01820ef39</t>
  </si>
  <si>
    <t>3a540dc4-2c80-4fc6-a31e-b33011cf71ac</t>
  </si>
  <si>
    <t>dbceacff-da9d-4d1d-b2c6-c7bccd38228c</t>
  </si>
  <si>
    <t>8d931c4a-0d36-450f-9081-b4586e4912a5</t>
  </si>
  <si>
    <t>87492bd0-6cf0-49fe-948f-988f10013ce7</t>
  </si>
  <si>
    <t>277b6063-a765-4799-b955-9e3d47a6dda5</t>
  </si>
  <si>
    <t>19df697e-68f7-49c9-87a9-35f1cd8ed7a4</t>
  </si>
  <si>
    <t>38916566-acf9-497e-b61a-4cb2e36eae6b</t>
  </si>
  <si>
    <t>ccddab31-f2c9-47fe-b266-ca585fa22c0a</t>
  </si>
  <si>
    <t>159a4ae7-680b-477b-bf6c-0115418750e6</t>
  </si>
  <si>
    <t>15febd74-3d19-4890-8785-e15d248ccbf2</t>
  </si>
  <si>
    <t>bfea9979-2854-47a4-b2d4-b645bb5b01ac</t>
  </si>
  <si>
    <t>2e101fa7-8689-43e1-a530-57199f67df3d</t>
  </si>
  <si>
    <t>2fa2875c-434d-402f-a24f-e185fe71a43d</t>
  </si>
  <si>
    <t>09a024d4-31ce-4830-99ce-734e5998e86e</t>
  </si>
  <si>
    <t>5fb15754-f922-4821-90eb-7108e5789099</t>
  </si>
  <si>
    <t>768fea3b-c571-465e-a6d2-52ff958d14f3</t>
  </si>
  <si>
    <t>f9466ba8-c366-46aa-b01d-eef088958dac</t>
  </si>
  <si>
    <t>b142bb57-2d95-4971-b3c9-49500b813fac</t>
  </si>
  <si>
    <t>c4d8ce94-8d0c-426d-895f-f8b1305a152b</t>
  </si>
  <si>
    <t>e322929e-a511-4a4d-9b19-38ec7a30e60b</t>
  </si>
  <si>
    <t>9d06ae49-c3da-41b8-8d4c-f23d75d76c43</t>
  </si>
  <si>
    <t>dde020fd-c60f-4ce4-9e64-88724ece3510</t>
  </si>
  <si>
    <t>4d8d2c6b-c0e1-4de7-9498-d212a105c050</t>
  </si>
  <si>
    <t>977c2dfa-28cd-43db-a5b1-ea33272c8d9a</t>
  </si>
  <si>
    <t>15f0a2ae-6488-466f-820d-bcda5161a86b</t>
  </si>
  <si>
    <t>852c3855-7bbc-4445-81ff-054159742dff</t>
  </si>
  <si>
    <t>623b1009-b432-4d05-9acd-c4d8545cdf35</t>
  </si>
  <si>
    <t>f5c6d2b3-9d1b-45d1-a754-af15ec9c4f58</t>
  </si>
  <si>
    <t>f2b625e3-fbee-442b-838a-9c2b3ba35423</t>
  </si>
  <si>
    <t>791cbc90-be2a-4cff-9f0e-233bc6dffbec</t>
  </si>
  <si>
    <t>2708e8cb-c15f-4cb9-a98a-3a44c409a0a1</t>
  </si>
  <si>
    <t>d0abb84a-7db0-48fd-a6f9-72fb98153b1e</t>
  </si>
  <si>
    <t>7c2891d4-962c-42ca-8d76-a5e01f9b73f5</t>
  </si>
  <si>
    <t>3cfc4ead-213e-45ea-881f-77e97655bc77</t>
  </si>
  <si>
    <t>dbc4bf1e-5371-48fc-91eb-59e482aa388f</t>
  </si>
  <si>
    <t>2335ab97-a974-4b8b-90a9-ffddadc01566</t>
  </si>
  <si>
    <t>d5119dda-d93c-4870-9b44-3cb0a50584a4</t>
  </si>
  <si>
    <t>576e97f5-a76a-47e5-abc3-3f39d9ea8334</t>
  </si>
  <si>
    <t>283ae238-1ccf-4474-9a5d-a787ac8633ef</t>
  </si>
  <si>
    <t>6fff00ba-282e-4f05-9897-0a0e0c7da26d</t>
  </si>
  <si>
    <t>ca0f0f0e-f197-4a1e-ae3f-2fffd627b092</t>
  </si>
  <si>
    <t>4d1f9c8b-58c0-4823-ad89-2ff45fc90fa2</t>
  </si>
  <si>
    <t>98ba215a-d477-4329-bf59-1601d0a6e192</t>
  </si>
  <si>
    <t>8e1a72da-dd71-4073-9164-c04424e14b52</t>
  </si>
  <si>
    <t>d6b606f8-c7bd-4a30-9531-4dc1c5dcb543</t>
  </si>
  <si>
    <t>a9f05788-ef07-422a-ab5b-2c3fc1cfe7c7</t>
  </si>
  <si>
    <t>2e98f277-5858-437a-b871-60c0f7434ad4</t>
  </si>
  <si>
    <t>97159bdb-ee13-41ed-886f-6eb4e406f209</t>
  </si>
  <si>
    <t>ecbfc278-995a-4815-9468-014d89530710</t>
  </si>
  <si>
    <t>b9c8e087-d36a-43e1-b4d5-f1b15764d0b6</t>
  </si>
  <si>
    <t>e05a9b7d-40ed-4f7d-b5ba-108e5928024c</t>
  </si>
  <si>
    <t>aef4aba0-e3da-4b62-a2e7-7b33798dd9c8</t>
  </si>
  <si>
    <t>eea10231-57ae-401d-b3d3-ee3654ad8ecb</t>
  </si>
  <si>
    <t>eaa17ede-1f9a-49c9-8374-981fce94614b</t>
  </si>
  <si>
    <t>13e29a6f-ee22-4796-af06-98570b7bcab8</t>
  </si>
  <si>
    <t>e197fcf8-8cbc-4ba3-9a37-39537070ce00</t>
  </si>
  <si>
    <t>41492e40-0769-4ed9-81cb-27c775fe9424</t>
  </si>
  <si>
    <t>b3893bc7-ba14-4beb-881b-7b308377d3b8</t>
  </si>
  <si>
    <t>14593a40-d5a4-4471-969c-8c1e9650f418</t>
  </si>
  <si>
    <t>c9717227-9d5e-49db-997f-93538bc24466</t>
  </si>
  <si>
    <t>68bae67b-0b53-42da-a8fc-cf42fba49a1e</t>
  </si>
  <si>
    <t>f4c179b0-636b-4f02-87a6-7e26c31f4739</t>
  </si>
  <si>
    <t>7a216df0-d394-4275-a77c-4cee9346ba7c</t>
  </si>
  <si>
    <t>a6c301ce-0434-4272-b0e9-778d4e22aab6</t>
  </si>
  <si>
    <t>3ad0849a-eefd-44b7-9095-e1e82c1acaa0</t>
  </si>
  <si>
    <t>6b2c5bd1-8aef-4a00-a223-09fdc045f6a0</t>
  </si>
  <si>
    <t>3522e267-7cb4-4a27-8d77-1ecdc656ab28</t>
  </si>
  <si>
    <t>9f090365-6ca0-4d20-99bf-7cf4c872fe26</t>
  </si>
  <si>
    <t>e516927d-39c1-4b66-9e3b-05e15f955a27</t>
  </si>
  <si>
    <t>9857dc2b-b190-4919-b457-87d67a454889</t>
  </si>
  <si>
    <t>03aca477-4254-4fad-abb7-4d12b350b84b</t>
  </si>
  <si>
    <t>19d1f99b-5da5-4314-9206-9033e2ff5ee7</t>
  </si>
  <si>
    <t>e812f8fe-2621-4aca-bff0-6e55c4181042</t>
  </si>
  <si>
    <t>2cb92788-a71c-416d-8775-01bbc8fb72aa</t>
  </si>
  <si>
    <t>149f8f79-ccb3-4290-a752-5bc080a6de23</t>
  </si>
  <si>
    <t>78524cf2-b67c-4a72-bb61-3fd01eff5263</t>
  </si>
  <si>
    <t>3010b71e-4da7-47b7-9030-dc69013c937e</t>
  </si>
  <si>
    <t>af909bf7-a9d9-44e9-abfc-6663d232fe1c</t>
  </si>
  <si>
    <t>b0f3b343-40fa-4b49-8ac0-4af0939b18f4</t>
  </si>
  <si>
    <t>d3557949-daa7-4b95-80ef-55182a0c4719</t>
  </si>
  <si>
    <t>5fc3e8e7-54b1-4626-b242-cbb442ebaceb</t>
  </si>
  <si>
    <t>0cce0637-c7ff-40a1-8239-4ef28c184ba0</t>
  </si>
  <si>
    <t>a731d7c5-e983-4d62-a2a8-7e3ba1c7486e</t>
  </si>
  <si>
    <t>7739e69b-f8a2-4487-b333-c32e958579ea</t>
  </si>
  <si>
    <t>47cee3ed-9cd6-41d8-9056-b3d1639240b8</t>
  </si>
  <si>
    <t>08e2745c-f106-4c85-b87c-252130c4e2e6</t>
  </si>
  <si>
    <t>9dc95a1f-ebb3-4af0-84a3-964a45296b48</t>
  </si>
  <si>
    <t>8f043439-9404-4f75-ad55-3e87cd8fd720</t>
  </si>
  <si>
    <t>ecf3c7d9-62aa-4e2a-9234-46d16e5bc40a</t>
  </si>
  <si>
    <t>243f498a-069a-4854-a8de-5e01f74f509b</t>
  </si>
  <si>
    <t>0aeade49-1276-40bc-a8eb-65950bc798ef</t>
  </si>
  <si>
    <t>d9bf6a4d-109a-4842-b898-6c2b08144505</t>
  </si>
  <si>
    <t>2f0ceb41-4f1d-483e-be15-5f8a1452f121</t>
  </si>
  <si>
    <t>24ebf324-565d-40ae-be78-53370b443616</t>
  </si>
  <si>
    <t>bf50c698-4205-4378-846d-d84e3c7ac3c2</t>
  </si>
  <si>
    <t>42810033-0cd6-4186-b015-a0b1558a207e</t>
  </si>
  <si>
    <t>eff91559-6537-4450-8129-2faf10f7111c</t>
  </si>
  <si>
    <t>2469e16d-49cf-4ce5-9bbd-13c8a7413f1a</t>
  </si>
  <si>
    <t>9b6f8426-1310-4cb2-b3a0-0f65fe66c1da</t>
  </si>
  <si>
    <t>2f2232b3-3e65-4d36-b292-6da9e7ccccb8</t>
  </si>
  <si>
    <t>dfb232a5-2742-4e56-b0fc-f64a30b908df</t>
  </si>
  <si>
    <t>3639a220-84a4-4694-b7dc-e29a9a607f54</t>
  </si>
  <si>
    <t>969b7460-aaeb-452d-8ac0-55f9920c3a49</t>
  </si>
  <si>
    <t>5807b2ec-7a9b-4ff9-8d74-719def6be95b</t>
  </si>
  <si>
    <t>535de8cb-46c0-41fd-9309-32adece9f05c</t>
  </si>
  <si>
    <t>a7ac7ee7-dd07-4c5b-a356-ec84f0a55c27</t>
  </si>
  <si>
    <t>0fc50523-3e8a-4ce6-8c52-4949c3248f55</t>
  </si>
  <si>
    <t>6a928f3a-1567-49ff-90b2-cab94078e21c</t>
  </si>
  <si>
    <t>da005e4b-0ca0-4790-8c8e-2bac4263ab4d</t>
  </si>
  <si>
    <t>a7300fed-38b1-4612-8b90-e338aa1d9c69</t>
  </si>
  <si>
    <t>ddb8f65d-45ee-4ba1-9268-c64ed5d87970</t>
  </si>
  <si>
    <t>9c20f86d-b77c-46c7-b602-a71121711cd4</t>
  </si>
  <si>
    <t>3b791bd1-18d4-436b-8bba-94e1949e3c09</t>
  </si>
  <si>
    <t>7be25bf5-12ec-42c7-95c8-591617c0f5cf</t>
  </si>
  <si>
    <t>da940b91-eba9-4d87-af35-be7f8721e06a</t>
  </si>
  <si>
    <t>66e1c96b-e13d-4f7c-8220-809e5c6abf0c</t>
  </si>
  <si>
    <t>15396133-99a7-4bc7-ba02-429844f4a629</t>
  </si>
  <si>
    <t>ee3842c8-2e7b-412b-b866-d2e18081ca19</t>
  </si>
  <si>
    <t>7dda981a-5495-4668-8ae5-efcc2fa0e8b1</t>
  </si>
  <si>
    <t>22581cec-7720-44e6-a4c3-830c66d14cf6</t>
  </si>
  <si>
    <t>aea175e6-461e-4e8d-8503-d6905568d0dd</t>
  </si>
  <si>
    <t>c3044df3-3a51-4397-b584-67b765d47a6c</t>
  </si>
  <si>
    <t>f8a5392c-7209-43e5-8e9a-e77c674447d3</t>
  </si>
  <si>
    <t>c9daf3af-4b52-4209-a817-6f9bf71a33fb</t>
  </si>
  <si>
    <t>762c08ee-8151-4388-ab6e-db0918595c2f</t>
  </si>
  <si>
    <t>eb1f9589-f6dd-460b-9e1e-a1c8f514c1d7</t>
  </si>
  <si>
    <t>fba54d8a-9275-474f-9c8b-44e82deef58e</t>
  </si>
  <si>
    <t>585027a6-d2bf-4faf-8197-7c9ab662db22</t>
  </si>
  <si>
    <t>04c8ead7-5bf3-4980-bf15-e8a5b5812f88</t>
  </si>
  <si>
    <t>2b2e6826-8d17-4524-a6f6-10f1fc74fda6</t>
  </si>
  <si>
    <t>403a0bc8-ea04-4fda-ab59-d4dfce21354b</t>
  </si>
  <si>
    <t>ed3e3a12-65f6-4797-824d-ad6dfc85c64f</t>
  </si>
  <si>
    <t>3752fb59-70d2-4444-a671-ea7e118d034a</t>
  </si>
  <si>
    <t>a0369a76-4f28-47e9-bf7c-bbe257f2e9f3</t>
  </si>
  <si>
    <t>3e50db25-47de-4f53-adc5-5d4cd6ecf1d3</t>
  </si>
  <si>
    <t>ccc464a3-0954-455f-a50f-f84b84517d2f</t>
  </si>
  <si>
    <t>455cb937-7433-447e-b16a-f1e0087641ea</t>
  </si>
  <si>
    <t>571e3b15-82d3-4772-8354-8a56c7c874c1</t>
  </si>
  <si>
    <t>6bbac616-1aff-4b60-b06e-c7d9efe6b3b2</t>
  </si>
  <si>
    <t>16a5f201-2194-402f-896f-58d12bf2bae3</t>
  </si>
  <si>
    <t>51bd844e-803a-4b41-ad1b-9044dc949805</t>
  </si>
  <si>
    <t>08ffe28c-5926-4d4d-8c75-c775c02ff5f2</t>
  </si>
  <si>
    <t>66fbaa24-2f99-48fc-b03c-b87082b96379</t>
  </si>
  <si>
    <t>028b4601-c928-4b58-8b24-de88a308406d</t>
  </si>
  <si>
    <t>1e87e159-c5e0-414b-bd19-1e18d9800ee2</t>
  </si>
  <si>
    <t>e8fd6503-e613-4e40-a727-f52d6d9eaad6</t>
  </si>
  <si>
    <t>6c68a5d4-9278-4e74-87a7-e214d3681e91</t>
  </si>
  <si>
    <t>b3615127-8d63-4996-8de6-f52759ecdf45</t>
  </si>
  <si>
    <t>afb184f1-aacb-406b-bcb1-0e1df5debdb4</t>
  </si>
  <si>
    <t>00a594c2-0d4e-4d06-8c16-4ccabbfcc661</t>
  </si>
  <si>
    <t>c9db3433-6484-481f-b61d-bd372eb5ec1e</t>
  </si>
  <si>
    <t>53e24dc8-efc1-4cf5-8f98-0cfcaa53bc63</t>
  </si>
  <si>
    <t>bfb483a5-b4bb-4a0d-a6aa-e081dbabbd10</t>
  </si>
  <si>
    <t>4098fec9-0120-402a-ba85-ed130eefd908</t>
  </si>
  <si>
    <t>39ee2d8b-5040-4aef-a2c5-4b47988540d3</t>
  </si>
  <si>
    <t>8d202c19-1b18-4713-bf06-43090e5242ce</t>
  </si>
  <si>
    <t>daeb4aad-ec07-426a-a965-101e20f17dfa</t>
  </si>
  <si>
    <t>7848d759-dcc4-47e6-b289-6e5a20828e07</t>
  </si>
  <si>
    <t>a385b123-e82f-47ca-af94-3d5c448ece2c</t>
  </si>
  <si>
    <t>ebc06bbd-33b3-43e0-bbe7-ab6ece8f2908</t>
  </si>
  <si>
    <t>d589c572-b35f-4b41-8ac9-2acb72f1cb08</t>
  </si>
  <si>
    <t>cbd29564-b362-4aa9-a873-16476b2920e4</t>
  </si>
  <si>
    <t>9ff46f4c-216f-4e6d-b97f-66b71cfefd72</t>
  </si>
  <si>
    <t>801d9e56-764a-4d3f-8824-596607d8a97f</t>
  </si>
  <si>
    <t>e46a5e4f-7fd2-4490-9adb-b925a004d6a9</t>
  </si>
  <si>
    <t>a4dd2d0b-3ec0-4dbf-9a61-34c59efd2937</t>
  </si>
  <si>
    <t>94ebb818-a86c-4b38-8425-444f9e2715e8</t>
  </si>
  <si>
    <t>a6460efc-db5a-40a8-a9d1-0c63b2a77fed</t>
  </si>
  <si>
    <t>cd9f6c04-852f-4888-88f2-454c50486bd1</t>
  </si>
  <si>
    <t>303d0668-5632-464c-a323-9d5c44bbdf16</t>
  </si>
  <si>
    <t>ffa665bf-dff5-499e-9bd2-f0e30975771a</t>
  </si>
  <si>
    <t>339bfba4-d220-4c8e-a2d4-174a81cf8010</t>
  </si>
  <si>
    <t>9f50aff8-2f0b-4470-bd1e-c0082575c290</t>
  </si>
  <si>
    <t>afe2e98f-f00b-42bc-80dc-21ee4a8384cd</t>
  </si>
  <si>
    <t>1882f6a9-0344-4264-b0f2-6cd023132e68</t>
  </si>
  <si>
    <t>8cd12eef-fe7f-4f98-821a-13ea946f3114</t>
  </si>
  <si>
    <t>5ecb179e-c41c-46e2-8de0-31c4da08e8dc</t>
  </si>
  <si>
    <t>5df905ee-868e-4ac2-8704-7deb73aa4251</t>
  </si>
  <si>
    <t>02cce923-4f11-4e20-af45-d25c4468f3b1</t>
  </si>
  <si>
    <t>2ce16255-bc7c-4ff9-8d21-4d4bb0ed8a13</t>
  </si>
  <si>
    <t>e7d862ef-b303-41d6-8bdb-e3f0a6b1fc1c</t>
  </si>
  <si>
    <t>8ff87c56-908f-4f7a-9b49-992988fd88f0</t>
  </si>
  <si>
    <t>de858934-d4d9-48e9-99ec-d69b28d85e83</t>
  </si>
  <si>
    <t>1dcb8cef-9003-4393-af05-e6a4fb56fbf3</t>
  </si>
  <si>
    <t>441369aa-ab43-4bb4-b3b6-66cccff1050c</t>
  </si>
  <si>
    <t>44008147-525c-4e5c-af18-b96eea076f95</t>
  </si>
  <si>
    <t>c6eeec78-0ce3-4495-bbd0-2aee082a6ecc</t>
  </si>
  <si>
    <t>79454911-9809-4bb4-ad44-648bc235aac2</t>
  </si>
  <si>
    <t>7ff53d7d-b2f9-4c4f-89b6-c468195a84cb</t>
  </si>
  <si>
    <t>c76d4c2d-060a-470d-9123-9e5f692c3310</t>
  </si>
  <si>
    <t>0f2a4e48-453d-4e11-b3a6-13e8a01c26cd</t>
  </si>
  <si>
    <t>c62b2086-7d9f-43ba-9d7b-cf83e442107d</t>
  </si>
  <si>
    <t>5e0345bb-337d-4751-b4b4-6c9e6762b8ba</t>
  </si>
  <si>
    <t>e58ca4d8-d149-43c2-af69-e391de6becbf</t>
  </si>
  <si>
    <t>7685f7bf-b302-4ba8-8feb-a96b427b97f5</t>
  </si>
  <si>
    <t>b4f85d5c-9a6b-481c-9fd8-5e0449ff1b43</t>
  </si>
  <si>
    <t>bb89e019-2943-4b80-a981-d4dba74d1f05</t>
  </si>
  <si>
    <t>647a0ae6-acc0-42af-a826-a1a6d6950dd8</t>
  </si>
  <si>
    <t>70f03974-e3fe-48ce-bb9c-e055296634b5</t>
  </si>
  <si>
    <t>8798f37a-7401-4792-9680-9847d5124e04</t>
  </si>
  <si>
    <t>b4555b19-5364-4234-af06-ff0af3d9870a</t>
  </si>
  <si>
    <t>5db231b4-1594-4794-9043-a96d2baf1975</t>
  </si>
  <si>
    <t>d6eca2eb-5695-4af0-b23e-f888109ced8e</t>
  </si>
  <si>
    <t>bd5c54ba-2753-496a-bdd0-678aded1ed9a</t>
  </si>
  <si>
    <t>3ba6c185-5183-42ba-a526-8b072c8e97fe</t>
  </si>
  <si>
    <t>c726049b-54c5-4527-b1ce-9a72a417c9a6</t>
  </si>
  <si>
    <t>bc9dfed6-f9dd-4e54-b345-284c7570d674</t>
  </si>
  <si>
    <t>a4cf75f7-73d1-473a-9c07-9f25987c2305</t>
  </si>
  <si>
    <t>c5a4e8b9-0ae2-499f-8a12-7d6f1451ea86</t>
  </si>
  <si>
    <t>4ab7f791-358e-4763-aabf-6b9f437dbce3</t>
  </si>
  <si>
    <t>726c928e-7ef9-4321-9d30-ce5c39b9e14d</t>
  </si>
  <si>
    <t>121e980d-8983-4c29-965a-01871a64c95a</t>
  </si>
  <si>
    <t>2359698f-3a98-4017-87de-5502f74f31a7</t>
  </si>
  <si>
    <t>e0ef4398-c6ac-4743-9718-81b14b5faeac</t>
  </si>
  <si>
    <t>83883b07-4cd7-405e-8da7-4333cd418d00</t>
  </si>
  <si>
    <t>e4239ba5-6079-4bff-b2ba-64cccf2ae242</t>
  </si>
  <si>
    <t>d778a957-813d-4b4b-aed0-8971eeaa4f9e</t>
  </si>
  <si>
    <t>6cca8d0f-bfda-4ee0-8490-8ca7c26074bb</t>
  </si>
  <si>
    <t>f04ab085-9d05-44c9-acd7-fb06904ea883</t>
  </si>
  <si>
    <t>b29ff5ef-b65b-4d33-970f-3e34e4344c13</t>
  </si>
  <si>
    <t>f48c76b6-9b9c-497e-8187-4da02e20b10f</t>
  </si>
  <si>
    <t>0e1d0ad4-2fe4-45cc-beb5-31cce23e4a50</t>
  </si>
  <si>
    <t>a7ae6797-4da0-402d-a3bd-8b363d1a9709</t>
  </si>
  <si>
    <t>c8fa7830-499d-4b86-b447-056dfc6ec40a</t>
  </si>
  <si>
    <t>eb522ea9-5a34-48b2-8890-0c8c4ea08ad8</t>
  </si>
  <si>
    <t>39341d1a-cb13-4e9a-acb1-e85ac7bffcbb</t>
  </si>
  <si>
    <t>22d1b42b-3b6a-4a2f-bc9b-883388001bf4</t>
  </si>
  <si>
    <t>6255bd3a-e962-4297-9779-77cf7d642a84</t>
  </si>
  <si>
    <t>978bf1eb-20be-4422-a2fb-4f6d033fac84</t>
  </si>
  <si>
    <t>0c962c3c-4e7c-4463-b908-b06c0a5d8c19</t>
  </si>
  <si>
    <t>8f37cc09-ae7d-443f-8a77-308b0f2ddd8d</t>
  </si>
  <si>
    <t>0babd726-0932-43d4-b738-0d2837a5b39e</t>
  </si>
  <si>
    <t>cf21f533-8346-4169-acc3-ff135bec4c4f</t>
  </si>
  <si>
    <t>5a5f1e8b-32aa-4158-b718-205b8a92847e</t>
  </si>
  <si>
    <t>65cd78ff-a970-4d01-af8a-59135c150718</t>
  </si>
  <si>
    <t>41d30d40-9224-4082-ada8-d0254668b93b</t>
  </si>
  <si>
    <t>5fb10b56-c2d0-447e-900f-cb0dea129e96</t>
  </si>
  <si>
    <t>9fd1f598-1c96-4164-8abc-9486ca71825a</t>
  </si>
  <si>
    <t>4fa178f3-5d78-4f09-b654-b58038c213c1</t>
  </si>
  <si>
    <t>bb5c1183-e0c1-4dc9-bcc1-d0cb1e3d55da</t>
  </si>
  <si>
    <t>0d9b598a-ec57-4e06-8e7e-fc7e2568533e</t>
  </si>
  <si>
    <t>ebf0bd51-84b1-449e-9df5-8cad07eb7de2</t>
  </si>
  <si>
    <t>2e03e952-905c-4b07-befa-37e75e142c4f</t>
  </si>
  <si>
    <t>8b2dfdbf-12c3-4889-9fc9-cdc99e219bb0</t>
  </si>
  <si>
    <t>32292da1-abc1-4f41-a8e2-40c80357789c</t>
  </si>
  <si>
    <t>8f0698e7-e31e-4208-9ec9-d17a67e7150a</t>
  </si>
  <si>
    <t>18ca93c2-7eb4-4683-8641-d7d2cc4b58ca</t>
  </si>
  <si>
    <t>7775e69c-be0a-4f3c-af4d-7966be7df0cd</t>
  </si>
  <si>
    <t>6047d73a-2932-4409-ae3d-cba28be11555</t>
  </si>
  <si>
    <t>463a5240-b3a5-40cb-82d7-65f19c2a8dfc</t>
  </si>
  <si>
    <t>be522e87-539e-4efb-b22c-b5c5e11cde6b</t>
  </si>
  <si>
    <t>e294987c-356e-47ee-9b6f-597987129a1a</t>
  </si>
  <si>
    <t>d6ab7ef8-108e-4802-bfee-6114b4c1c0c0</t>
  </si>
  <si>
    <t>0c5a9029-c335-433b-ab17-30fef11ea92e</t>
  </si>
  <si>
    <t>b7416359-115c-4aa5-9893-3b8017d9d1f3</t>
  </si>
  <si>
    <t>fae8dab6-1057-499e-b86b-7728bc42de85</t>
  </si>
  <si>
    <t>f49c2c7a-f71d-4576-94de-04b49389c62c</t>
  </si>
  <si>
    <t>b3d0f3d1-9dc6-418a-a0b2-272a39452a51</t>
  </si>
  <si>
    <t>78785ea9-497b-49a6-8d4e-bd1cb43d0219</t>
  </si>
  <si>
    <t>6732a10e-727d-44cd-9f9f-49dab1311705</t>
  </si>
  <si>
    <t>9cf2738e-496d-47fc-99e7-c37228e0e024</t>
  </si>
  <si>
    <t>5ff5fcc7-1bb9-403e-9cd0-fc8f91b7bcd5</t>
  </si>
  <si>
    <t>9da4a848-a9af-46b2-84b5-8f3d0ed0071e</t>
  </si>
  <si>
    <t>38670250-5d2f-4f39-95d5-25d1e6851677</t>
  </si>
  <si>
    <t>be0aff9b-9c03-4975-b752-169b2012f95d</t>
  </si>
  <si>
    <t>61004785-0f1b-4cb7-9bfb-09e486109b17</t>
  </si>
  <si>
    <t>40807b61-f768-4de2-80a9-32801e338c23</t>
  </si>
  <si>
    <t>8713ac25-92b7-453a-a6f0-2c466402123c</t>
  </si>
  <si>
    <t>e3d33625-afab-4d2a-943b-2e7c1db845c7</t>
  </si>
  <si>
    <t>fc6ad4bb-ca61-4c6d-aa19-28552c7229b7</t>
  </si>
  <si>
    <t>276dd101-aca7-43ae-975f-c6dfacc9ff36</t>
  </si>
  <si>
    <t>caf5e924-f778-437d-9c90-d313c628284a</t>
  </si>
  <si>
    <t>c19af9ab-a45a-4052-9d45-7be35b331c71</t>
  </si>
  <si>
    <t>854c0a65-301b-4a93-ac69-7d2a9428dde8</t>
  </si>
  <si>
    <t>f2b94f92-6a6e-494e-a6f4-37d430753286</t>
  </si>
  <si>
    <t>7d9a949c-c427-4884-8008-0a6263820628</t>
  </si>
  <si>
    <t>1ddf0b60-d303-4110-9b6d-74b69e231886</t>
  </si>
  <si>
    <t>3ed3bac6-711d-4fe3-b6ae-679c6816c5d4</t>
  </si>
  <si>
    <t>b56e3e15-b8b6-42ab-8aca-39eac7006938</t>
  </si>
  <si>
    <t>0d58f90a-6eb8-4594-a47b-7b4da46dfd05</t>
  </si>
  <si>
    <t>2f1d9a83-0ed0-4474-975d-6853cd360eb2</t>
  </si>
  <si>
    <t>a6306abc-977b-4f4f-9b04-278865a118b3</t>
  </si>
  <si>
    <t>b84c17aa-6cf9-4a9d-a1e8-cdc7b6dc46e0</t>
  </si>
  <si>
    <t>c4ab0769-37c6-4a79-ae53-c210890c40b7</t>
  </si>
  <si>
    <t>b9b4bd97-4a2c-4cdb-b405-03cfd42dacdf</t>
  </si>
  <si>
    <t>f956d4e8-196a-4106-9f62-ee32f83d71b2</t>
  </si>
  <si>
    <t>bb7d3b40-28ed-4d62-b4dd-c48078b591f9</t>
  </si>
  <si>
    <t>4e81d61c-e1d8-4f79-95db-2389ee5e937b</t>
  </si>
  <si>
    <t>4a206ae6-ec00-456c-acd5-e0cb69de6c8c</t>
  </si>
  <si>
    <t>4f1728e0-a481-4fc5-95d8-3d89694241b7</t>
  </si>
  <si>
    <t>0fa66354-2fca-4ae3-aa97-673e35001aa9</t>
  </si>
  <si>
    <t>aca48ecb-9392-48d4-beac-4ba808311b67</t>
  </si>
  <si>
    <t>53466992-bd6a-45bc-9a9a-2be269c819c1</t>
  </si>
  <si>
    <t>0f493112-bc03-4879-abb7-6a3232975fbc</t>
  </si>
  <si>
    <t>b88d841b-e32f-4b89-ad74-e1532ae0e4ba</t>
  </si>
  <si>
    <t>d4a509cd-7600-4884-bea7-cd63852266ba</t>
  </si>
  <si>
    <t>1f5947a5-78a6-4fc9-8b8d-55830ab97371</t>
  </si>
  <si>
    <t>92e06882-dee5-44ce-9a84-fb33645fbea1</t>
  </si>
  <si>
    <t>5c04fad2-301a-433c-8cf7-82ab1621338f</t>
  </si>
  <si>
    <t>081f7d48-bf27-4b0e-8900-2e4fcbb4b8dc</t>
  </si>
  <si>
    <t>6d38bd2f-ee41-4b08-a1ab-2c5b9b7e9501</t>
  </si>
  <si>
    <t>325746ac-8496-4570-b411-7eafad7265db</t>
  </si>
  <si>
    <t>2b07781e-9a98-4251-a848-ac8f076aa5f7</t>
  </si>
  <si>
    <t>a74170ca-47b6-4528-a524-66238d02db27</t>
  </si>
  <si>
    <t>66871b61-7579-47da-b80f-53492997e50f</t>
  </si>
  <si>
    <t>4db9b3a7-7f4d-4993-b7cb-7d2b2efcdf4d</t>
  </si>
  <si>
    <t>139a9a4b-1cb4-4b91-b718-d0bdd7db31c9</t>
  </si>
  <si>
    <t>c8db89df-a6f0-4f52-b3e2-e524c9576f90</t>
  </si>
  <si>
    <t>437e0dae-dbf7-41a8-8a03-010b9597bbd2</t>
  </si>
  <si>
    <t>a3a3084d-93f4-427b-8d86-cc8e36321cb3</t>
  </si>
  <si>
    <t>2deb0ff0-5909-4169-8a23-4ed3979467fc</t>
  </si>
  <si>
    <t>3569db32-cb0a-40c5-ad2b-c163011b78b3</t>
  </si>
  <si>
    <t>093585a3-96ce-4513-8d60-1dd36c4b30d2</t>
  </si>
  <si>
    <t>4c5b5072-7bdc-406d-ae19-b84936df59df</t>
  </si>
  <si>
    <t>d0637fde-e4c8-4c60-9817-a3494a623a6f</t>
  </si>
  <si>
    <t>7bcfa77e-c95c-410e-bd84-b471879f234c</t>
  </si>
  <si>
    <t>98adddae-3bee-4035-9b2d-f6bea62bd0f0</t>
  </si>
  <si>
    <t>ba34ab5f-24ae-404b-be9d-03e30bcf2189</t>
  </si>
  <si>
    <t>14426fbb-ec2b-440e-b570-57efc8becdfb</t>
  </si>
  <si>
    <t>c32e40f9-3523-4599-8d9a-6fd6a9f23214</t>
  </si>
  <si>
    <t>bf320b63-6f7d-48e7-bf7e-a5005d1fd074</t>
  </si>
  <si>
    <t>62daa4b1-c95d-471f-b1a7-8c85e15fb864</t>
  </si>
  <si>
    <t>e78b5351-ac0e-4c1b-aafe-fb0085f1d2a6</t>
  </si>
  <si>
    <t>5005718f-e370-4a78-9e3d-d927ed207012</t>
  </si>
  <si>
    <t>26b800f9-302a-4945-9b42-ff31a4e85121</t>
  </si>
  <si>
    <t>8432b4f6-f16c-4bc6-92ac-28037e386c41</t>
  </si>
  <si>
    <t>ca9ece3a-3732-4580-ab3e-6a4315e852df</t>
  </si>
  <si>
    <t>9676eefa-cbbb-43c8-a8c3-3290542c2950</t>
  </si>
  <si>
    <t>788fde80-7b00-46d0-ba98-6a341ef49b5c</t>
  </si>
  <si>
    <t>4ab4fe44-4a7b-4a70-a786-760ab936a47e</t>
  </si>
  <si>
    <t>3befa239-f0c1-42a1-bbc2-dce3242bb275</t>
  </si>
  <si>
    <t>f42486cf-242b-4ad5-b6fd-f824f9c1f12f</t>
  </si>
  <si>
    <t>248c63ec-a5f4-4427-b99e-4981509f186a</t>
  </si>
  <si>
    <t>0203d17e-40d9-46b5-b5af-e2bdb377281f</t>
  </si>
  <si>
    <t>704ba3cd-85d7-402d-89b3-deda95f66626</t>
  </si>
  <si>
    <t>46314a85-af27-4a81-b817-998d299f6520</t>
  </si>
  <si>
    <t>64f4eddc-0f0a-4ad7-8fef-7e58a98d63d6</t>
  </si>
  <si>
    <t>5f23082a-93b4-42a5-b729-51fed2ea0e90</t>
  </si>
  <si>
    <t>65bc4877-f333-487b-b32a-47f8819ee73a</t>
  </si>
  <si>
    <t>e97a0b27-cd8a-421d-8143-588572039c96</t>
  </si>
  <si>
    <t>13732886-4ad6-4644-a684-2175f54b092a</t>
  </si>
  <si>
    <t>a3094c01-cb9e-43e3-ba45-0fedfcd58611</t>
  </si>
  <si>
    <t>64bb8ce8-81b0-41e8-ad65-f5ea30ff4a7f</t>
  </si>
  <si>
    <t>abd73cf3-93fe-409f-9eb0-87d893e08b7d</t>
  </si>
  <si>
    <t>d92249ae-a974-4776-a4d4-603c76dea4f6</t>
  </si>
  <si>
    <t>853d9d1e-60b9-49ab-97b1-8eaf27491f0a</t>
  </si>
  <si>
    <t>82036a66-c988-49ae-a1ec-d7d3204ee236</t>
  </si>
  <si>
    <t>61eb6eb5-e9a9-475b-8165-28c04e8c434c</t>
  </si>
  <si>
    <t>e3aaa11f-951a-4505-9e89-8a20a6a5a361</t>
  </si>
  <si>
    <t>41bcf9d9-441a-41ec-aff9-d8638f7edf7d</t>
  </si>
  <si>
    <t>0bba6c1b-aac4-4ad9-bd6e-53f2969a8b69</t>
  </si>
  <si>
    <t>aed7e1c8-aa22-414f-bc78-b258c92d2ab7</t>
  </si>
  <si>
    <t>2bef7682-a992-4bb0-93d8-8615e2cf1e9e</t>
  </si>
  <si>
    <t>e05428f1-2640-4022-b170-9f2548e79f40</t>
  </si>
  <si>
    <t>914085c9-eb4b-4e84-af5e-4d97bebd3965</t>
  </si>
  <si>
    <t>0f4b3930-1768-4fd9-9950-c9b19762c946</t>
  </si>
  <si>
    <t>acf87cbc-1e5a-4ce7-be7a-5de80ac65aa7</t>
  </si>
  <si>
    <t>5ac1ea8e-5265-4d5e-b02d-c94e5f5b8b90</t>
  </si>
  <si>
    <t>c2f44d8e-3ce4-43f3-946b-4e545c6a3acd</t>
  </si>
  <si>
    <t>7fa6dbcc-b77c-493f-829d-f71c4b055b9e</t>
  </si>
  <si>
    <t>a73415e3-5c7a-4b85-9354-af53d420f4a1</t>
  </si>
  <si>
    <t>40b411ce-7486-4c5a-a863-a5fb33bb5c50</t>
  </si>
  <si>
    <t>f1506f88-a592-4f3a-a137-182ba552a789</t>
  </si>
  <si>
    <t>56a66bc9-077d-475f-aedd-735f074ca5d2</t>
  </si>
  <si>
    <t>7c8f0f60-cbb3-4e3a-b103-2c6e150d75ec</t>
  </si>
  <si>
    <t>f28c108d-0f99-4c84-a260-ecfacc10fd0e</t>
  </si>
  <si>
    <t>6a472bb0-9a95-477c-9fe7-9d1ea72f8e26</t>
  </si>
  <si>
    <t>1c587671-fa0c-4ab2-8c40-9da075f3c528</t>
  </si>
  <si>
    <t>efa8d0e2-0cab-462a-9705-a93bcc443566</t>
  </si>
  <si>
    <t>66492b59-ffa2-4c7f-b10c-22fff72660a9</t>
  </si>
  <si>
    <t>5ca27785-89f7-490b-a7f3-05c1b401c956</t>
  </si>
  <si>
    <t>4ecc3bcc-9a2c-4553-b455-f0e12a337b45</t>
  </si>
  <si>
    <t>20c8a438-df8a-4c3f-af84-14d7f715bc74</t>
  </si>
  <si>
    <t>e6de6559-8d72-49de-b46c-2aa5af20d69b</t>
  </si>
  <si>
    <t>c28be812-12f6-45b3-9134-d3eb615d8384</t>
  </si>
  <si>
    <t>e92c2fcc-985b-4493-9379-db3813d32754</t>
  </si>
  <si>
    <t>84be9068-d2a7-471f-afd3-48a9e0e6258f</t>
  </si>
  <si>
    <t>e2d7e8bb-fda5-472d-9b96-760a78c60e26</t>
  </si>
  <si>
    <t>599b4ba8-1a70-48d2-8431-157c6bc00e3e</t>
  </si>
  <si>
    <t>e7a34891-f6e5-49ef-b243-a8e5ae4d784d</t>
  </si>
  <si>
    <t>7fcac79d-653a-4eda-a77a-5ba412f243a8</t>
  </si>
  <si>
    <t>670e490d-84c7-4c4f-91f5-9f5db011cc5f</t>
  </si>
  <si>
    <t>2ccc9e95-c087-4cf7-a1bf-ed334f15de88</t>
  </si>
  <si>
    <t>b2f0b036-c0d1-4da2-9a31-024ee0519157</t>
  </si>
  <si>
    <t>fe0d9ff2-643f-4961-99d7-d7d34d007d95</t>
  </si>
  <si>
    <t>e5fa1e72-81d2-443e-adb4-791bfaf4b670</t>
  </si>
  <si>
    <t>eb48f4d8-7ca5-4302-8921-939bb4e688c8</t>
  </si>
  <si>
    <t>091d5dc7-e584-42a4-bfbb-6e84b04e67ee</t>
  </si>
  <si>
    <t>e6bf4961-3840-4168-aadf-a3c4fbc755ea</t>
  </si>
  <si>
    <t>5c768a81-58b1-4456-8494-8a27d446c176</t>
  </si>
  <si>
    <t>8f54440c-45c6-4a50-a00e-08e1b91f700a</t>
  </si>
  <si>
    <t>2f0ac20f-1ac9-4547-9346-a9a2dd19af20</t>
  </si>
  <si>
    <t>d7189df6-09ff-4e33-b3ae-116821c5e4f2</t>
  </si>
  <si>
    <t>568e6fb4-0221-4c1f-813d-361301ef1d5f</t>
  </si>
  <si>
    <t>e51dbe77-22a7-46a9-86e1-e57962355201</t>
  </si>
  <si>
    <t>83312093-ee83-407a-934e-079ce957946d</t>
  </si>
  <si>
    <t>557ce443-efc1-4b8f-8c94-d5f9e85add49</t>
  </si>
  <si>
    <t>378d55f6-bedc-4e8f-a463-3abba322a153</t>
  </si>
  <si>
    <t>c388e0b1-6bc4-4bb4-aa68-f9c496b48852</t>
  </si>
  <si>
    <t>726b52d2-7e77-4795-a1d8-825986b42e2e</t>
  </si>
  <si>
    <t>b9d29000-589f-448a-b59f-fc3785d2f4ed</t>
  </si>
  <si>
    <t>9c581f71-5f2f-4375-875b-36a0b6f6d990</t>
  </si>
  <si>
    <t>f58c7dd0-9283-4e77-b483-211c805335fd</t>
  </si>
  <si>
    <t>706ddb9a-cb8d-4a1e-81e8-14e40602e470</t>
  </si>
  <si>
    <t>55ed90ef-2dff-4e4a-9be5-031dd54b0447</t>
  </si>
  <si>
    <t>b7d72162-b026-4164-8088-daceb7a26fff</t>
  </si>
  <si>
    <t>13030812-68dd-42d2-a464-6e43e21c7160</t>
  </si>
  <si>
    <t>99fada69-fa65-40d0-9923-69e149aa91ef</t>
  </si>
  <si>
    <t>09f7e90a-4612-452f-b003-548ce65cd862</t>
  </si>
  <si>
    <t>77d1b027-bb61-4e8e-aa8f-b025e2b7ec7d</t>
  </si>
  <si>
    <t>d4519d2b-2af4-43b9-92ce-99a1af7c1c39</t>
  </si>
  <si>
    <t>02300212-e7a7-45ae-bd09-91eb04d36829</t>
  </si>
  <si>
    <t>cf02bffb-20d2-424a-8562-6421c4390dab</t>
  </si>
  <si>
    <t>74c06ffe-af58-4ace-8d78-5907815af7e6</t>
  </si>
  <si>
    <t>dc6d2f05-340b-4749-9ad3-042769c37da5</t>
  </si>
  <si>
    <t>2d0942a2-88dd-4338-b2a9-68d9e58b63a9</t>
  </si>
  <si>
    <t>f512e8e0-8996-4bb4-a4c1-1ca1fa02d7a3</t>
  </si>
  <si>
    <t>fc274733-408e-43bf-aa54-d214112b1548</t>
  </si>
  <si>
    <t>536d984e-6a11-4fad-98a5-0c0f2c3eab62</t>
  </si>
  <si>
    <t>f497575e-b7b2-4723-938a-30386092c7be</t>
  </si>
  <si>
    <t>fc28863e-447f-4e5e-b76f-727218233bbd</t>
  </si>
  <si>
    <t>a1b29317-2fc4-4e01-9c68-3d2227b01097</t>
  </si>
  <si>
    <t>4087c266-e159-4c37-9859-2de71f3a402f</t>
  </si>
  <si>
    <t>419e3d4d-d090-4273-b74c-92d9919e77c9</t>
  </si>
  <si>
    <t>370c7b1b-8106-4f8c-9191-2129da90cd71</t>
  </si>
  <si>
    <t>450d14a0-2d11-4eea-acce-3a4386dce4ac</t>
  </si>
  <si>
    <t>afa2c8dc-30ef-4d06-a884-753eb13959d5</t>
  </si>
  <si>
    <t>9bf1fd0b-5de0-4dfc-96a9-e120cb64fc9d</t>
  </si>
  <si>
    <t>b84807cd-3365-4d28-89f0-b079031f5ace</t>
  </si>
  <si>
    <t>a8682608-831f-4120-87f6-42bea2a61c8c</t>
  </si>
  <si>
    <t>2ecc022d-a17e-4c25-8702-1aa16ae7bc7f</t>
  </si>
  <si>
    <t>b11461e1-48cb-4414-81e2-c9465253d8ce</t>
  </si>
  <si>
    <t>6ceff389-27d6-48b0-9051-015c43e238ea</t>
  </si>
  <si>
    <t>d84d9c7e-666d-4ef9-a5ee-baa2b33f4894</t>
  </si>
  <si>
    <t>334cab1c-58ee-451f-a71a-c48dad603a23</t>
  </si>
  <si>
    <t>1bec1768-4134-4daf-87d6-2cda9fd68d1f</t>
  </si>
  <si>
    <t>62880283-cd1b-4f4e-99a3-cd9ea68dec75</t>
  </si>
  <si>
    <t>fecd1ba1-f8f6-48dd-9d8e-5850e9545353</t>
  </si>
  <si>
    <t>ae8f103b-54bd-4840-8054-58334478fcd3</t>
  </si>
  <si>
    <t>80d5a4ba-8666-403a-8a06-3dd5c107521f</t>
  </si>
  <si>
    <t>658c1623-39e9-4e55-a064-b2ebcb84c9dd</t>
  </si>
  <si>
    <t>8890d869-4350-4385-ac27-74164c3b5608</t>
  </si>
  <si>
    <t>766a9878-2161-4498-9ec9-3c863f81597f</t>
  </si>
  <si>
    <t>224c4d42-ee21-47c6-9bf5-7caff7600c05</t>
  </si>
  <si>
    <t>8d468061-8140-43dd-8b1e-2c6edaba7dcc</t>
  </si>
  <si>
    <t>cd866037-dc54-4c67-a548-b515b176be98</t>
  </si>
  <si>
    <t>56a7ff80-d327-4d57-b21f-f2c6c371d964</t>
  </si>
  <si>
    <t>2c3f2a11-9505-4bf6-9494-bdea5b9861b4</t>
  </si>
  <si>
    <t>391be65f-42c7-435e-a897-760d39572df7</t>
  </si>
  <si>
    <t>1eee405e-bd40-47b0-80b7-3b0679fffc76</t>
  </si>
  <si>
    <t>ff69325e-99a7-40f4-b582-9f5a5785b86a</t>
  </si>
  <si>
    <t>38883088-82e6-49c6-a4bb-3e8af6e30100</t>
  </si>
  <si>
    <t>9c62e74b-f4c5-4930-95fd-05af54d20e4e</t>
  </si>
  <si>
    <t>1bb55717-cc4e-4bba-bd0d-57f799de79df</t>
  </si>
  <si>
    <t>434d6a52-0bd2-43e3-ae6e-a2676278aafc</t>
  </si>
  <si>
    <t>5cabac37-62b4-47ff-a6e3-05fc87f546e1</t>
  </si>
  <si>
    <t>73a75504-55eb-4a89-a10c-2d1efea41435</t>
  </si>
  <si>
    <t>acc814f5-beb6-4b35-a4f1-52f7c5a8466c</t>
  </si>
  <si>
    <t>6bfe7532-11da-403e-8695-3432a19ae5d1</t>
  </si>
  <si>
    <t>b0a2f841-6af2-45d2-9664-ddb22328386f</t>
  </si>
  <si>
    <t>98ab13fb-7bec-46d3-8e53-51744b37ccf4</t>
  </si>
  <si>
    <t>6a05e5d1-b9f1-4a06-8b2e-00d9be0a9c75</t>
  </si>
  <si>
    <t>c19127d6-59de-4de0-9905-f31dc004a492</t>
  </si>
  <si>
    <t>9e84dec4-0bd3-4bda-9bd3-24dcfeec7a62</t>
  </si>
  <si>
    <t>d17e48c2-ebdd-476f-a8fe-cc4fded14748</t>
  </si>
  <si>
    <t>9e850bbc-305f-4d94-bcea-ec4cbae9fbec</t>
  </si>
  <si>
    <t>98a4fb80-94ac-44aa-89fd-0914dddf51ef</t>
  </si>
  <si>
    <t>bf457cd5-49da-417a-9fe9-dbe20d59ae4b</t>
  </si>
  <si>
    <t>9d6a710b-4d65-4c42-b09a-ec0593283b20</t>
  </si>
  <si>
    <t>d169f8c0-e79a-4228-94c0-5fd1bda788b9</t>
  </si>
  <si>
    <t>d3179fc8-0768-4a39-b460-5d801d944a0f</t>
  </si>
  <si>
    <t>8a452a10-0420-44d0-97a8-77e27484ba26</t>
  </si>
  <si>
    <t>656341de-b604-4cba-84be-2bae57863b9a</t>
  </si>
  <si>
    <t>be552b2f-f0d3-4fd9-a049-ab8a12e5b4a6</t>
  </si>
  <si>
    <t>385ad79f-78f0-4a0a-bda7-382086d6eb0e</t>
  </si>
  <si>
    <t>f597eb69-868c-4b28-a8a5-370dd93addda</t>
  </si>
  <si>
    <t>a1112cd2-63e8-4dcc-bde0-8594ed9ca808</t>
  </si>
  <si>
    <t>6ed22d1c-e852-4e23-977c-6b9832f0d83a</t>
  </si>
  <si>
    <t>7e71d750-4118-4614-bced-33bc8a40c19d</t>
  </si>
  <si>
    <t>fb87d8e0-933e-4217-8d46-bfc542d54a1c</t>
  </si>
  <si>
    <t>ebb7f7f9-3642-4bc0-9057-64a4639500f3</t>
  </si>
  <si>
    <t>6631ac1d-cc1d-4e93-933a-c456b9dbc245</t>
  </si>
  <si>
    <t>1ba05618-b233-4a66-8b9c-8d5fb409e733</t>
  </si>
  <si>
    <t>bc5479e3-8f7c-4a35-a546-4a0c03014c43</t>
  </si>
  <si>
    <t>07b2ef42-4121-4df3-bd9c-1f486c9f297d</t>
  </si>
  <si>
    <t>31ce5ae7-95d8-41f2-b0f6-b53a48805631</t>
  </si>
  <si>
    <t>68b92e1b-e711-4dca-a7ba-83604a5c1cd7</t>
  </si>
  <si>
    <t>546fc06f-0ad0-4c77-b584-b6207ce85032</t>
  </si>
  <si>
    <t>611da92d-86f8-4551-99c1-cdcc54f9c6c6</t>
  </si>
  <si>
    <t>020f1ec9-c5e4-49b6-b98e-2916ff3603f7</t>
  </si>
  <si>
    <t>e00b7f5d-8749-4514-9224-58cd8b62ec03</t>
  </si>
  <si>
    <t>69788d27-ec3b-43bf-b0fa-6589ae44d4bf</t>
  </si>
  <si>
    <t>ac3c9e48-76e6-4cf2-9281-acac55b27556</t>
  </si>
  <si>
    <t>10d41a34-2ce2-48dc-931c-617d97a922a2</t>
  </si>
  <si>
    <t>2ed16181-3218-4baa-b701-097b568c1fa9</t>
  </si>
  <si>
    <t>e0cf7efa-0d64-4319-be22-85fff8543ac7</t>
  </si>
  <si>
    <t>8ef64a8b-022e-40fa-9f38-9fe3c0e6f035</t>
  </si>
  <si>
    <t>d495410f-a416-4925-a4b5-091e0e32bb53</t>
  </si>
  <si>
    <t>47592560-65a8-473a-b958-19e7cbec3899</t>
  </si>
  <si>
    <t>e58612f1-8cdf-4ad2-a4b1-8e3d54eff969</t>
  </si>
  <si>
    <t>34b351d2-1982-492a-9142-c10a4ccc0deb</t>
  </si>
  <si>
    <t>2a634640-645b-40a4-bd68-061854dd8496</t>
  </si>
  <si>
    <t>42d19381-42c8-463d-9536-ed53fb96f056</t>
  </si>
  <si>
    <t>ef10f239-9ee2-43a2-836e-3cc6b4b67f01</t>
  </si>
  <si>
    <t>bd0878b4-0d0e-440e-8d9c-69485b286a31</t>
  </si>
  <si>
    <t>5297c01f-561d-4b1e-9e79-33a3f007b0de</t>
  </si>
  <si>
    <t>f2eed8dc-4dba-4e98-adce-448bf9ddc2fc</t>
  </si>
  <si>
    <t>c5023e06-f43d-42e0-a260-07856b28a1a6</t>
  </si>
  <si>
    <t>87c53591-0c10-4ac0-888a-e8ca04e0db2d</t>
  </si>
  <si>
    <t>c4a6005b-1cb8-428d-8ab4-f878e801f811</t>
  </si>
  <si>
    <t>31d8d43e-6693-4f55-8f82-c7c75f148ac0</t>
  </si>
  <si>
    <t>9b091047-c9d3-4366-9baa-561bcaffeb66</t>
  </si>
  <si>
    <t>5e112bc0-2924-4555-aef0-35867b3ba735</t>
  </si>
  <si>
    <t>99e536c3-b591-4109-a5b9-0c5e41d1ecec</t>
  </si>
  <si>
    <t>f304a74f-131f-4052-87d2-19b3a9fe4da5</t>
  </si>
  <si>
    <t>dfd92a97-35cd-41a2-9543-8c31ff4be412</t>
  </si>
  <si>
    <t>c9c12ef1-297b-4112-9f21-6fbb4cf177a7</t>
  </si>
  <si>
    <t>b54ffc00-f63a-4426-9c0d-4f3cc4bf7ef1</t>
  </si>
  <si>
    <t>eded349c-62bf-4983-8641-447472f54b1e</t>
  </si>
  <si>
    <t>b3337457-8384-465d-930a-388134bff798</t>
  </si>
  <si>
    <t>03e27e5c-5ddf-434d-aec0-a24f7700d8e6</t>
  </si>
  <si>
    <t>97d7c604-801c-438e-8c87-3d21fbe88dcb</t>
  </si>
  <si>
    <t>ce549f49-5e61-4bec-bd01-8864b33a8183</t>
  </si>
  <si>
    <t>4a154c2c-af0c-48d5-b33a-abfc9f36b303</t>
  </si>
  <si>
    <t>33b7fb60-60f9-44ed-8831-dd591c034061</t>
  </si>
  <si>
    <t>7dd01549-ccbd-44a0-a05e-d26d6c6f2700</t>
  </si>
  <si>
    <t>4603414f-4b7a-4f1e-b669-9691916df58f</t>
  </si>
  <si>
    <t>82fb70a4-1d50-4d8c-87fb-941f33689f7b</t>
  </si>
  <si>
    <t>0c245d2b-b3db-4aec-b239-df0e7325bb31</t>
  </si>
  <si>
    <t>5f6479d4-8ad1-4d0a-9b42-6f9dbb3cb9f4</t>
  </si>
  <si>
    <t>9afa0f19-48f8-4411-839b-e5ba7d46fe19</t>
  </si>
  <si>
    <t>9778d6eb-6645-4846-b98d-41a463a3d51b</t>
  </si>
  <si>
    <t>4e5d53c5-778b-44b4-be76-2471244b18dd</t>
  </si>
  <si>
    <t>0dbed695-5bcf-4ce1-96f0-e0606aca8118</t>
  </si>
  <si>
    <t>2dd38964-4eff-45fc-b829-d4e0b0b5de28</t>
  </si>
  <si>
    <t>30693957-871c-4e3b-93a7-40e0f5ccb675</t>
  </si>
  <si>
    <t>69af8044-6abb-4f97-8734-b7730e2b272f</t>
  </si>
  <si>
    <t>22dc574b-4ac6-46b9-8169-30ebb76916eb</t>
  </si>
  <si>
    <t>77548eab-aa23-47df-aca1-6e96ddfe41b1</t>
  </si>
  <si>
    <t>f786c02b-64f9-4283-897b-f25725768565</t>
  </si>
  <si>
    <t>226d7978-8b50-4eed-af03-4dbbbf9a4299</t>
  </si>
  <si>
    <t>7f0bc91c-b624-45b2-92c3-78cabad149e0</t>
  </si>
  <si>
    <t>a9a959bf-9b50-49e9-b2de-57df0991f1a3</t>
  </si>
  <si>
    <t>3e597168-3aab-4c17-9ab5-a6cf9c8c90da</t>
  </si>
  <si>
    <t>536a44cf-0000-4623-9071-5cba7b83cf50</t>
  </si>
  <si>
    <t>59092e09-0dbc-4fc5-b278-30c1bade494e</t>
  </si>
  <si>
    <t>568d5251-a028-417e-9043-03bba128203a</t>
  </si>
  <si>
    <t>fcbf7c26-4b2b-4b3d-8fa8-3b0443519f6a</t>
  </si>
  <si>
    <t>9142b33e-0eea-46a8-b2d6-65748c79a51b</t>
  </si>
  <si>
    <t>03d820d3-a3aa-4c06-b050-c7df142fa639</t>
  </si>
  <si>
    <t>99dfff88-bb1e-45ab-824f-5039c6214e7d</t>
  </si>
  <si>
    <t>0c64db4b-516c-4ae3-8535-245897b0d1e2</t>
  </si>
  <si>
    <t>17f493a4-a6e1-4656-8b5a-d1f05bf95168</t>
  </si>
  <si>
    <t>f3927eb7-ecbb-407e-8cdd-f184dc7d7cea</t>
  </si>
  <si>
    <t>c3373f7f-cade-4d57-97d9-8e51f1106393</t>
  </si>
  <si>
    <t>4875b979-8bae-4f55-b608-f9c63d3a64c5</t>
  </si>
  <si>
    <t>b6ae726c-3cb1-47d2-b60a-ea938381efe5</t>
  </si>
  <si>
    <t>843e08e3-37b3-4967-a8ca-9f92e799b0d0</t>
  </si>
  <si>
    <t>953fcb28-edb7-4ea5-bdd6-aca6f0d93c77</t>
  </si>
  <si>
    <t>065a1e3f-aa81-415f-b803-a5e4194cfb47</t>
  </si>
  <si>
    <t>51e84dce-fbf9-4ecb-820d-bf7fc7bfc3b1</t>
  </si>
  <si>
    <t>8aa9e8cc-1a54-42a5-a412-fc6bcef9ad9a</t>
  </si>
  <si>
    <t>467ce3a5-14e6-4969-8828-44a208759e5b</t>
  </si>
  <si>
    <t>5e4bcc97-b9a0-4da1-bd60-3fa2af7d2aec</t>
  </si>
  <si>
    <t>9b17f6fd-1775-4c39-9f7a-a713518ea0ee</t>
  </si>
  <si>
    <t>01f5b716-4b50-4821-a6b6-31e03ae688c0</t>
  </si>
  <si>
    <t>d26a9356-d7f0-42ab-96b2-d71d0a0fcd81</t>
  </si>
  <si>
    <t>bcc80f67-536f-436e-bf9f-c94baaee8a16</t>
  </si>
  <si>
    <t>72623046-6989-4844-9ce5-cb7fd7762169</t>
  </si>
  <si>
    <t>bf2ab528-1ef7-4f3b-982c-3bad07ee96f5</t>
  </si>
  <si>
    <t>7bdda34e-2371-49e3-b76f-869d84c79fc2</t>
  </si>
  <si>
    <t>fc65efe0-c883-4106-8dfe-0f4e1ab1cf39</t>
  </si>
  <si>
    <t>4b2fe627-376b-44ce-b482-df32ee8eac71</t>
  </si>
  <si>
    <t>3b3f5f53-3226-41fd-9795-20aa8c5af220</t>
  </si>
  <si>
    <t>df367afb-3443-4711-842a-ce47bcb85b8f</t>
  </si>
  <si>
    <t>9a3def96-953b-4933-ad1f-8acd4af589fd</t>
  </si>
  <si>
    <t>d99c1fc5-77af-435c-9a48-a77f6ce04f4a</t>
  </si>
  <si>
    <t>12f84c3f-7fa8-4d64-a7e0-1b2e2ae8cb9f</t>
  </si>
  <si>
    <t>923b6b02-c43c-4872-b9fa-0ab3894580bd</t>
  </si>
  <si>
    <t>6a1f7b46-9c19-40e2-82e9-9432ace69e32</t>
  </si>
  <si>
    <t>7bea3f5b-22eb-463b-bf66-3871fcb11037</t>
  </si>
  <si>
    <t>6781c2d0-38e2-40ac-bddd-f64196897c13</t>
  </si>
  <si>
    <t>1e3517b0-ab0d-4136-a752-ae05a31aac28</t>
  </si>
  <si>
    <t>39daed80-4505-4457-914c-c00cd07ae46d</t>
  </si>
  <si>
    <t>86d29442-63d6-4317-a6ee-f7fa92331384</t>
  </si>
  <si>
    <t>bd9ea01c-36ac-4d31-82a8-5b78d91f1e1e</t>
  </si>
  <si>
    <t>1993c791-652a-4552-8631-49549a41e62c</t>
  </si>
  <si>
    <t>7f381abb-3a46-4356-8de4-d05bbdd85c97</t>
  </si>
  <si>
    <t>403a931d-18f5-4936-8762-4e4f3210bbbb</t>
  </si>
  <si>
    <t>982cc84b-e285-4ddd-bf8c-a0f3e5351cb2</t>
  </si>
  <si>
    <t>a1ab5d11-3df0-4684-b778-6f2b240bd242</t>
  </si>
  <si>
    <t>4f699d5e-aa41-4416-bfc7-d512c78dc24d</t>
  </si>
  <si>
    <t>e623b4bc-40de-4159-be50-ca26f7f733f1</t>
  </si>
  <si>
    <t>c4e70439-1883-4db9-811d-9797b8431f29</t>
  </si>
  <si>
    <t>24087ad9-9abf-4b27-84d9-e23e4d29b92c</t>
  </si>
  <si>
    <t>a6bf5afb-be23-44b1-af76-d58d4f0f93d0</t>
  </si>
  <si>
    <t>6ad29a04-87b9-412a-bfa4-e76284ed2864</t>
  </si>
  <si>
    <t>44a3ed06-9968-48b2-84db-2b3b80aaa24b</t>
  </si>
  <si>
    <t>90d0d880-06fe-4557-ab4b-e88599ad8f5f</t>
  </si>
  <si>
    <t>75ba2655-0d1c-4f44-9465-3bda2d61e1a9</t>
  </si>
  <si>
    <t>b751ad98-e765-4d12-b395-2b943a08c93a</t>
  </si>
  <si>
    <t>d77cfd90-9b77-477b-8691-4555bb07943f</t>
  </si>
  <si>
    <t>237d5e54-ee7b-47ea-ab81-d2c73be3ea00</t>
  </si>
  <si>
    <t>791cf9ec-1d92-4616-a52c-76d50307c03c</t>
  </si>
  <si>
    <t>4db004d7-d1fd-4808-b0a0-e954ac75edb2</t>
  </si>
  <si>
    <t>03438da8-aaec-44a2-bb01-84c481d4e46d</t>
  </si>
  <si>
    <t>74a5fa0c-41c3-4962-b689-75c86f40ef5b</t>
  </si>
  <si>
    <t>61aea2e2-2ebd-42dc-a1db-e010d0105d12</t>
  </si>
  <si>
    <t>fb30914a-ab31-4c00-8964-60cc27dff6fc</t>
  </si>
  <si>
    <t>efdeea70-e9e1-462c-9d63-7363f92e9675</t>
  </si>
  <si>
    <t>60863e2c-fc3d-4159-9062-823d94962043</t>
  </si>
  <si>
    <t>d7adff3a-6559-431b-b87c-b59c02663f6d</t>
  </si>
  <si>
    <t>56c8703c-0b6a-4855-8f8c-71ffbb864a41</t>
  </si>
  <si>
    <t>03bfd4bd-07bc-466a-b996-cda3dbc960f6</t>
  </si>
  <si>
    <t>2238bc41-e5c5-4920-9eb3-775d98f47820</t>
  </si>
  <si>
    <t>fa843a74-9995-42b0-9609-0f12c837b933</t>
  </si>
  <si>
    <t>6710cae0-d2bd-43b3-91c8-63f62074f36f</t>
  </si>
  <si>
    <t>2a1779f8-decc-4e6a-9ecb-3dc1d3a86992</t>
  </si>
  <si>
    <t>db46dd88-18d9-429f-825b-7c85c476714f</t>
  </si>
  <si>
    <t>29730126-d478-4410-9604-21efa590f1fe</t>
  </si>
  <si>
    <t>67b113fc-9150-4782-9ffc-2ce3ff279934</t>
  </si>
  <si>
    <t>17acb389-0e72-45c8-ac86-d60d97e7f99a</t>
  </si>
  <si>
    <t>341ca0ab-92c0-4215-ad6b-f48271555c50</t>
  </si>
  <si>
    <t>a59f97c3-afb5-4ce2-875b-c9ff848316a1</t>
  </si>
  <si>
    <t>dbe586b9-b584-4a17-ba54-78342d58f8f4</t>
  </si>
  <si>
    <t>12f671b0-2f22-40b6-89fc-7de9d7e7d52f</t>
  </si>
  <si>
    <t>70820e8e-b154-413b-878b-059ee45a8c8a</t>
  </si>
  <si>
    <t>72f7df09-0981-4f5c-a50b-b0c3a9cae383</t>
  </si>
  <si>
    <t>ca215cf9-e9de-4832-a79c-8edc43fe308b</t>
  </si>
  <si>
    <t>0cc458db-4700-4f81-ab9f-f7cfdc99c42c</t>
  </si>
  <si>
    <t>d50938f1-1912-4750-9842-d6973cef5ed1</t>
  </si>
  <si>
    <t>97ec3395-c904-478b-97aa-81239166463e</t>
  </si>
  <si>
    <t>04b44966-a995-4e15-858a-189bb63130c7</t>
  </si>
  <si>
    <t>0db11439-213a-4a5f-b985-0730c5df290b</t>
  </si>
  <si>
    <t>159765ac-c14e-4227-b94c-75e535f544d4</t>
  </si>
  <si>
    <t>8153dcbd-292b-4fb5-b595-4ebec093f970</t>
  </si>
  <si>
    <t>9e51d72e-f057-41a2-8b0a-8898a332b358</t>
  </si>
  <si>
    <t>c52727bf-894f-4fce-9718-6d17eb5683b3</t>
  </si>
  <si>
    <t>d61db263-a3f0-4136-8374-b461e590023e</t>
  </si>
  <si>
    <t>ab05d0b9-6297-4ba2-87a9-37766912a927</t>
  </si>
  <si>
    <t>05cf06f4-fb9c-46b9-8143-90d133de7c7c</t>
  </si>
  <si>
    <t>1724d5d4-1a24-4dee-8e21-81ee475d264a</t>
  </si>
  <si>
    <t>de9a6188-6d9e-46ed-9a8d-fbb149349404</t>
  </si>
  <si>
    <t>f7e042ea-d325-46a7-a529-d2db26f733b4</t>
  </si>
  <si>
    <t>847465bf-f550-451d-b75c-c1d5262a7bec</t>
  </si>
  <si>
    <t>ccce6efa-8323-43cb-aace-7dac8b9def4b</t>
  </si>
  <si>
    <t>bcd3e1e2-94b7-4f50-a56b-11e97168c46d</t>
  </si>
  <si>
    <t>c67baf0d-dca4-4f17-bee4-3d0f28fcb96e</t>
  </si>
  <si>
    <t>4cdef435-302e-4962-b0f5-2bb4e72c1d30</t>
  </si>
  <si>
    <t>4885ec9b-a602-4bbc-90fe-c0e7efb339b6</t>
  </si>
  <si>
    <t>084827a9-2965-4cfa-97d7-5f57b5e02f96</t>
  </si>
  <si>
    <t>a7373067-a7f5-42fd-a979-766032779d06</t>
  </si>
  <si>
    <t>52e21fae-ec23-4adb-b27b-42b825d45da1</t>
  </si>
  <si>
    <t>5e22665e-a072-4777-be87-559efcc3dfce</t>
  </si>
  <si>
    <t>bcd3255a-5676-4a54-872e-617967ef9c19</t>
  </si>
  <si>
    <t>c0143890-83be-49fb-90cc-437199b6372d</t>
  </si>
  <si>
    <t>d9986ecd-24db-4c90-840f-6d223321f62d</t>
  </si>
  <si>
    <t>d3e962b4-faf1-4a2a-befe-e4805a1f3b84</t>
  </si>
  <si>
    <t>2b68f7ce-9980-4a86-88cf-d8f6811a9a7d</t>
  </si>
  <si>
    <t>64b3150a-0692-4601-9e5e-41e5f1ecb028</t>
  </si>
  <si>
    <t>6b680f31-6040-4b11-98ca-a2ee0255b97f</t>
  </si>
  <si>
    <t>ed8e292f-3626-47db-8e69-c7d173de75de</t>
  </si>
  <si>
    <t>afd7ee56-29bf-4272-b137-9c2237d35221</t>
  </si>
  <si>
    <t>74ea8681-238b-45f0-abf7-f77bb50fd1ab</t>
  </si>
  <si>
    <t>a24001aa-b339-4204-b7e5-5636d37cc08d</t>
  </si>
  <si>
    <t>3394c196-b17f-457f-9d85-84c98cb90bc7</t>
  </si>
  <si>
    <t>74a46b75-8ec7-442d-b11e-e14b65f22c33</t>
  </si>
  <si>
    <t>4b74a6f5-4d5a-41bd-90f2-f7e4956ed15a</t>
  </si>
  <si>
    <t>0c5b8f38-652b-4db9-92ea-8feb9cae757e</t>
  </si>
  <si>
    <t>bd54770c-ab6a-4221-9ee7-4f2485a88b85</t>
  </si>
  <si>
    <t>bdd907a3-4305-4816-8716-329796ec068d</t>
  </si>
  <si>
    <t>7febb278-56d3-4243-af1d-fd3ccdd031c9</t>
  </si>
  <si>
    <t>1f91a794-b579-41e7-8564-ae1c8cb079f5</t>
  </si>
  <si>
    <t>d26fd8ff-5d68-40c2-82a1-c2638ff03729</t>
  </si>
  <si>
    <t>c8821ff1-946d-4041-bec5-c92b1b5f2898</t>
  </si>
  <si>
    <t>e7908a1b-8fff-4be0-92d2-13c41ac1b2e2</t>
  </si>
  <si>
    <t>3690339f-0b74-4d4f-aac8-35097568ca65</t>
  </si>
  <si>
    <t>49a86d39-50d9-45ed-abb1-0b5d36bfbaad</t>
  </si>
  <si>
    <t>3570fca5-d3ac-4403-a01b-c54e364251ee</t>
  </si>
  <si>
    <t>9378278a-e990-4c7c-95cd-ec977f1f999b</t>
  </si>
  <si>
    <t>df0bc4dd-a51b-4e47-a51d-f490a26628d5</t>
  </si>
  <si>
    <t>714f63f9-f41b-41bf-8863-e9a6f426f1fb</t>
  </si>
  <si>
    <t>4e4121fb-538a-412a-878d-73fecf149994</t>
  </si>
  <si>
    <t>7847dded-758c-4b37-815a-e875469e5ab2</t>
  </si>
  <si>
    <t>b06e22e0-b5db-464a-8a84-3679387d120b</t>
  </si>
  <si>
    <t>af030326-2a76-48da-bf5f-847917b56f83</t>
  </si>
  <si>
    <t>94abe799-2be4-4e4d-ba6e-bbc16bce3ffb</t>
  </si>
  <si>
    <t>234bbe59-7ec8-452d-9e2d-2fb4fdfd610a</t>
  </si>
  <si>
    <t>96794a0b-4207-419d-824a-4381344626b2</t>
  </si>
  <si>
    <t>47ab0ca0-9730-401b-816d-dc4d60258834</t>
  </si>
  <si>
    <t>58360722-1db2-41a9-b6ec-d5ab305c03c2</t>
  </si>
  <si>
    <t>1915a2ea-ec3a-423a-b530-6d20c074f5b1</t>
  </si>
  <si>
    <t>6218a07b-d9a2-495a-b4a3-e7d61904c278</t>
  </si>
  <si>
    <t>6d4433c8-2be6-4796-bdad-8bb0ba390f96</t>
  </si>
  <si>
    <t>38327d81-4ed5-4147-947f-8875750ca545</t>
  </si>
  <si>
    <t>a00bad57-c23c-4033-957a-4dc8702aba94</t>
  </si>
  <si>
    <t>535bf82f-5c90-4e28-83cb-dab0da70201e</t>
  </si>
  <si>
    <t>ba877e46-0e39-47b7-baa3-ac5214c3c5d4</t>
  </si>
  <si>
    <t>72fbd806-f104-4e32-8eee-a68c1a3a74e6</t>
  </si>
  <si>
    <t>52122496-5d3a-47f5-8cda-ca47cea5a84e</t>
  </si>
  <si>
    <t>f71c149e-50ba-4975-8b2c-9d6f7d3f02a7</t>
  </si>
  <si>
    <t>fa4d1b96-0e03-4872-9352-a4aedd5b343c</t>
  </si>
  <si>
    <t>a8bb07ef-cb3b-4338-aa0b-2d10120abead</t>
  </si>
  <si>
    <t>75f12940-9bad-4844-b77b-d151f0465c31</t>
  </si>
  <si>
    <t>83c6aabb-fb9e-46cd-b494-1bfbcedaf20b</t>
  </si>
  <si>
    <t>9146ce74-fae9-48f5-9eb9-1fea3d544b98</t>
  </si>
  <si>
    <t>d8e99a33-7781-4f4c-bf88-2cc5f1afc6b0</t>
  </si>
  <si>
    <t>96c770e6-70bd-4989-8504-0bb55463daaf</t>
  </si>
  <si>
    <t>c46fe632-5a1c-4d9b-b22a-54fd560155af</t>
  </si>
  <si>
    <t>090d126a-af7e-41c1-bde6-0d956338d2c6</t>
  </si>
  <si>
    <t>504f46e2-2fe5-42e9-8f62-b2febb7a3f33</t>
  </si>
  <si>
    <t>7ab3a70b-b30c-47c9-a3c9-a21ebadb8d25</t>
  </si>
  <si>
    <t>e916fa00-1f9e-4969-a020-0cf660386ef1</t>
  </si>
  <si>
    <t>e61558ca-125a-4f17-92f1-6229519209d5</t>
  </si>
  <si>
    <t>6fd302c6-ceeb-4f6f-8b54-a3fc39cc7f55</t>
  </si>
  <si>
    <t>708c0d5c-e2cd-4635-8b19-5f170d186878</t>
  </si>
  <si>
    <t>0b976c30-6c96-4a64-9321-07662b420105</t>
  </si>
  <si>
    <t>d388f078-6010-4c24-b802-8884016303b0</t>
  </si>
  <si>
    <t>d1ec3803-9bcf-43a1-bfa8-76af7a51498c</t>
  </si>
  <si>
    <t>d25056a3-3ece-4c49-ba73-1aa8c9bd9ab6</t>
  </si>
  <si>
    <t>d310a9bc-aa26-409e-bf22-844f2823ef24</t>
  </si>
  <si>
    <t>6b57b66c-3908-46e2-9fd7-ce640a4f3e36</t>
  </si>
  <si>
    <t>573652f0-b3f0-4fec-9850-bd5afaed5627</t>
  </si>
  <si>
    <t>364f35bf-472c-41ca-9ae9-fd0d09727c3a</t>
  </si>
  <si>
    <t>c34d6790-83f1-4c2c-a48b-9fcb9157d48c</t>
  </si>
  <si>
    <t>db610830-7ea4-4d9f-a95e-51df46515632</t>
  </si>
  <si>
    <t>de1775c9-ebb9-46ef-979d-5a8d10960ef9</t>
  </si>
  <si>
    <t>246a4a25-3c11-47a6-b5ab-eba84419b970</t>
  </si>
  <si>
    <t>cc45745c-06af-43ff-a117-1df5da687daa</t>
  </si>
  <si>
    <t>872f77fe-a5de-4876-b9f0-132ef739535e</t>
  </si>
  <si>
    <t>895f64d6-cea1-4386-b012-9c852d46250f</t>
  </si>
  <si>
    <t>1c16afe2-819a-4ae6-b579-cd693a65df4e</t>
  </si>
  <si>
    <t>5802cb4d-f2e2-4332-a2f3-febca25ea310</t>
  </si>
  <si>
    <t>435659a8-db5c-4cd0-b8b6-39dbaa3e37fd</t>
  </si>
  <si>
    <t>879d9c01-a68c-4e19-addc-92d17cf6fd99</t>
  </si>
  <si>
    <t>a381192c-a036-4533-9cf8-5ac8024ac2bb</t>
  </si>
  <si>
    <t>dab03b03-9729-4243-8947-771bd42de47c</t>
  </si>
  <si>
    <t>7a66886d-3e71-4b09-b6f3-6cad34274cd1</t>
  </si>
  <si>
    <t>f05f04cf-3089-40f8-9b66-7c713d512bba</t>
  </si>
  <si>
    <t>0b972d0f-2059-4d20-a66e-d3eeb37f54c5</t>
  </si>
  <si>
    <t>3754cf42-ccc9-40b3-bd5d-03c89d425b6e</t>
  </si>
  <si>
    <t>7b4e1f74-b785-4cdc-b5ef-7974ed30fbac</t>
  </si>
  <si>
    <t>42d851d5-42a7-4ade-933a-357faf87f12a</t>
  </si>
  <si>
    <t>e2aa0969-3665-49a1-9923-97d34791c5d3</t>
  </si>
  <si>
    <t>9fd54ec3-872f-41e8-b760-7d2e5ff5c097</t>
  </si>
  <si>
    <t>3379ac1e-9066-4b48-abd5-9947b34e58ff</t>
  </si>
  <si>
    <t>716117d3-01cc-4f56-8cf4-8296a0e537a5</t>
  </si>
  <si>
    <t>1c62bb4f-1db4-4978-a9ca-8e12332a8f85</t>
  </si>
  <si>
    <t>f31580f7-a7c9-4c6b-8fee-22c23a5ae55b</t>
  </si>
  <si>
    <t>99083b8b-5de6-4850-90e8-d2b5cf941367</t>
  </si>
  <si>
    <t>01fadef3-f2a8-45dc-b55a-0796c3738f15</t>
  </si>
  <si>
    <t>fdde6f17-7f93-4fdc-8f3b-530bc80bc530</t>
  </si>
  <si>
    <t>ed6be55e-f446-481c-b865-9604cd873b6d</t>
  </si>
  <si>
    <t>e35797af-396e-4845-a113-feabec7dc7cc</t>
  </si>
  <si>
    <t>e72c17fa-9622-487e-96a1-b6df3b204ed3</t>
  </si>
  <si>
    <t>cf5284b6-85a9-4296-8ff8-8a77ad8518ae</t>
  </si>
  <si>
    <t>01033fb3-9b02-483f-b680-e5e51e3f38c0</t>
  </si>
  <si>
    <t>d0059684-ecfe-4806-8541-3a07326955a1</t>
  </si>
  <si>
    <t>c63310ea-b08d-45d5-bd04-4e473ef92cdc</t>
  </si>
  <si>
    <t>9aa344bd-f21c-4441-a171-bc8d2b50fd25</t>
  </si>
  <si>
    <t>0f3b6479-7cf8-41a4-bb92-81e7bc2d4ce5</t>
  </si>
  <si>
    <t>a4eb4c75-0e22-42e0-a9b9-c369f96de1b8</t>
  </si>
  <si>
    <t>214f5b80-6ece-4e3a-a278-cbf90bd848e2</t>
  </si>
  <si>
    <t>b3a52fef-8abb-4bc1-b229-7a80c685f2e2</t>
  </si>
  <si>
    <t>781fde2b-8c9d-4275-9e07-4362181de8cd</t>
  </si>
  <si>
    <t>efbbf8d7-ba1e-4619-8278-2f8a37d0c090</t>
  </si>
  <si>
    <t>2382fdcc-eb7e-4cc9-993f-3ad7d64caf02</t>
  </si>
  <si>
    <t>833b4b8d-5ec0-4ea8-95c9-bc799675c080</t>
  </si>
  <si>
    <t>7aac1a1c-9424-4798-974d-9123232ae2df</t>
  </si>
  <si>
    <t>11aa387b-f313-4a72-aafe-38ae9ac6a4d6</t>
  </si>
  <si>
    <t>732765ae-dfdc-49fa-9d19-b58d32289fa0</t>
  </si>
  <si>
    <t>5a249ee1-6c87-4a52-a35b-ca77c2397a2d</t>
  </si>
  <si>
    <t>f313cba7-1591-46d8-af44-b3239b4e4d66</t>
  </si>
  <si>
    <t>8e03e94c-9b10-4403-b599-51379205577a</t>
  </si>
  <si>
    <t>4b9ec84c-4343-472b-a048-db18c67502ef</t>
  </si>
  <si>
    <t>b891b8ae-d6e7-4207-8124-f70cc897a233</t>
  </si>
  <si>
    <t>a1374b53-58df-489a-9dc0-00e890631e06</t>
  </si>
  <si>
    <t>4cbd5d41-b4bf-45da-bccb-0f6843e83c0e</t>
  </si>
  <si>
    <t>121446bf-b597-4782-8c47-e55bdede5c44</t>
  </si>
  <si>
    <t>46b6970d-b5b8-4dd6-809c-5cc8764f6c37</t>
  </si>
  <si>
    <t>d7a9ccc3-349d-4413-bd8c-2efb292c62df</t>
  </si>
  <si>
    <t>2c0c46e6-0d11-40e8-9e5c-191be5a0d780</t>
  </si>
  <si>
    <t>3cf907f5-cc6b-4bf2-97cd-4c3133f683e0</t>
  </si>
  <si>
    <t>9cdfd845-7854-424c-a0f9-8360002b4193</t>
  </si>
  <si>
    <t>9e0514c5-6614-49da-86ec-2078477cfac4</t>
  </si>
  <si>
    <t>8eea27a5-60bd-4b70-a1bc-fa67162556be</t>
  </si>
  <si>
    <t>397fc52e-f32e-403f-a5db-e71d03b0a104</t>
  </si>
  <si>
    <t>95f0daed-3a15-48e7-abe3-edac6267f089</t>
  </si>
  <si>
    <t>5d69d0a3-74e8-4269-ab43-bdd814b97a8b</t>
  </si>
  <si>
    <t>c2e722af-1949-46f9-a70b-1e0607b0cd36</t>
  </si>
  <si>
    <t>bd502fe8-af3c-45db-a594-f95e16ddbd8f</t>
  </si>
  <si>
    <t>9683ac6c-575c-4c8d-af75-d8237112abf6</t>
  </si>
  <si>
    <t>af44e2c5-8883-451a-b0ae-aea2a113a45d</t>
  </si>
  <si>
    <t>0e4bbca8-986c-4bc7-ab91-5f36014340b1</t>
  </si>
  <si>
    <t>7b973919-a660-4bb6-996d-1fe69fcdd1f8</t>
  </si>
  <si>
    <t>4a458a85-7408-4453-a260-b51dd245b3c1</t>
  </si>
  <si>
    <t>03590be2-4353-4c68-b1e3-06e4658d8fe0</t>
  </si>
  <si>
    <t>8fdb2e1c-b70d-4075-a341-65c6ff4d37fa</t>
  </si>
  <si>
    <t>3cb6bfd9-36b8-4146-9522-15f3ed82637f</t>
  </si>
  <si>
    <t>f33fa56e-d616-4f90-a254-4d7383afb6a5</t>
  </si>
  <si>
    <t>ab2172c6-c24d-4215-9b4e-ac997c1ee7ca</t>
  </si>
  <si>
    <t>9a7c80b5-5519-4921-9f71-70e493e88776</t>
  </si>
  <si>
    <t>c351039c-a526-45fa-95c2-0f8f49d4b30d</t>
  </si>
  <si>
    <t>a0a03e20-8a2b-483c-9c24-ef8fa2e7bdb4</t>
  </si>
  <si>
    <t>4b9f0612-d5ce-4a76-8e21-f5280510e91b</t>
  </si>
  <si>
    <t>4d6704a8-3dfa-41d8-8cc2-72f68a4dd1eb</t>
  </si>
  <si>
    <t>eb59369f-c2e0-4556-b79f-f043dc4f6b70</t>
  </si>
  <si>
    <t>196b3c22-bd0c-41b7-9cfb-3738c14bd472</t>
  </si>
  <si>
    <t>23c403c2-d396-4e73-bec1-d473d5d8ed4a</t>
  </si>
  <si>
    <t>7e4a3ddf-5619-4246-99b7-76c15aeb1fbc</t>
  </si>
  <si>
    <t>09fd9e32-b882-4502-9bf5-a190e3dc4864</t>
  </si>
  <si>
    <t>7954d06b-32fa-4d91-a0fd-b1b4da58ceed</t>
  </si>
  <si>
    <t>7ebdbc97-e645-4ed6-b580-657f1724639a</t>
  </si>
  <si>
    <t>d3911798-6312-4ff3-a666-4432652c941b</t>
  </si>
  <si>
    <t>85776c86-a649-4c11-8620-531d2cd71057</t>
  </si>
  <si>
    <t>a91d4c81-1b4d-4f21-ba39-0eb891e57204</t>
  </si>
  <si>
    <t>2f6634e1-64cd-47c0-93b2-aab5fd8e1426</t>
  </si>
  <si>
    <t>d474a02f-64e9-4e92-991a-46ace95a4187</t>
  </si>
  <si>
    <t>c86755c1-ff58-4e6f-a69c-daf62f42a3bb</t>
  </si>
  <si>
    <t>8cd0fc82-e09b-4169-872b-dcfba901bd83</t>
  </si>
  <si>
    <t>9fb04801-389c-4557-8092-076a91475202</t>
  </si>
  <si>
    <t>39d97cd2-1358-45b8-9099-1391d8de99a0</t>
  </si>
  <si>
    <t>4cbe57b6-94b1-4e21-a9e1-1e5c3795e308</t>
  </si>
  <si>
    <t>f8a292be-d8a8-4c01-93fc-bfa1b48f3bf7</t>
  </si>
  <si>
    <t>442b2098-06d3-492e-accf-ede48654b32e</t>
  </si>
  <si>
    <t>a9227f50-343d-4075-adff-9703571151b0</t>
  </si>
  <si>
    <t>3e571d77-e3c7-44f3-9dac-16ef4e85eff5</t>
  </si>
  <si>
    <t>86a098f9-4c74-41eb-928a-450bf7750af1</t>
  </si>
  <si>
    <t>ddd70af8-c811-4536-acf5-034e15820cb0</t>
  </si>
  <si>
    <t>a9740c67-81cf-4d65-a94a-b800f850e21a</t>
  </si>
  <si>
    <t>b3a850e1-1102-44a6-b748-0d05ae20e3d4</t>
  </si>
  <si>
    <t>4c7d8e1e-7470-4442-9b60-b9ef525d84f2</t>
  </si>
  <si>
    <t>1305c60b-7729-42a9-9f73-e15a6a8f72d9</t>
  </si>
  <si>
    <t>a59abb6d-56b8-4f68-9cf0-6542a62d7ff6</t>
  </si>
  <si>
    <t>70f37a19-89b2-4933-8e09-0aafe9830375</t>
  </si>
  <si>
    <t>9a0c3761-f5f8-439a-9ffb-1b5502aeee23</t>
  </si>
  <si>
    <t>26ec6488-6474-44a6-96fa-34078b6f3b7f</t>
  </si>
  <si>
    <t>437a83a1-662f-4cb0-892b-984c6530ab46</t>
  </si>
  <si>
    <t>e38f488a-2fb5-4509-b761-c2a1df5af133</t>
  </si>
  <si>
    <r>
      <rPr>
        <rFont val="Arial"/>
        <b/>
        <color theme="1"/>
        <sz val="10.0"/>
      </rPr>
      <t>enroll_da</t>
    </r>
    <r>
      <rPr>
        <rFont val="Arial"/>
        <b/>
        <color rgb="FF434343"/>
        <sz val="10.0"/>
      </rPr>
      <t>te(MM-YYYY)</t>
    </r>
  </si>
  <si>
    <t>Який відсоток студентів завершують курси?</t>
  </si>
  <si>
    <t>Business_hours</t>
  </si>
  <si>
    <t>DataScience_hours</t>
  </si>
  <si>
    <t>Design_hours</t>
  </si>
  <si>
    <t>Marketing_hours</t>
  </si>
  <si>
    <t>Скільки часу навчаються студенти які закінчили курс?</t>
  </si>
  <si>
    <t>Обчислення для всіх студентів</t>
  </si>
  <si>
    <t>На яких етапах прогресу студенти відсіюються?</t>
  </si>
  <si>
    <t>Коли найчастіше студенти записуються на курс?</t>
  </si>
  <si>
    <t>COUNTA of student_id</t>
  </si>
  <si>
    <t>SUM of completed</t>
  </si>
  <si>
    <t>% завершення</t>
  </si>
  <si>
    <t>Коментар до гістограми:</t>
  </si>
  <si>
    <t>AVERAGE of hours_spent</t>
  </si>
  <si>
    <t>AVERAGE of course_rating</t>
  </si>
  <si>
    <t>AVERAGE of progress_percent</t>
  </si>
  <si>
    <t>SUM of retained_after_30d</t>
  </si>
  <si>
    <t>COUNTA 
Drop &lt;25%</t>
  </si>
  <si>
    <t>COUNTA
Drop 25–50%</t>
  </si>
  <si>
    <t>COUNTA
Drop 50–75%</t>
  </si>
  <si>
    <t>COUNTA
Drop &gt;75%</t>
  </si>
  <si>
    <t>% of student
Drop &lt;25%</t>
  </si>
  <si>
    <t>% of student
Drop 25–50%</t>
  </si>
  <si>
    <t>% of student
Drop 50–75%</t>
  </si>
  <si>
    <t>% of student
Drop &gt;75%</t>
  </si>
  <si>
    <t>% of student
Drop</t>
  </si>
  <si>
    <t>Середній час проходження курсів становить 33 годин. На гістограмі видно, що більшість витрачає 30-35 години на навчання. Також є студенти, які проходять курс дуже швидко (10-15 год) та повільно (понад 55 годин).</t>
  </si>
  <si>
    <t>enroll_date(MM-YYYY)</t>
  </si>
  <si>
    <t>Grand Total</t>
  </si>
  <si>
    <t>01.2023</t>
  </si>
  <si>
    <t>02.2023</t>
  </si>
  <si>
    <t>03.2023</t>
  </si>
  <si>
    <t>04.2023</t>
  </si>
  <si>
    <t>MED</t>
  </si>
  <si>
    <t>05.2023</t>
  </si>
  <si>
    <t>Коментар до таблиці:</t>
  </si>
  <si>
    <t>06.2023</t>
  </si>
  <si>
    <t xml:space="preserve">Коментар до таблиці:
</t>
  </si>
  <si>
    <t>Загалом найбільше студентів відсіюється з курсу Design (48%), найменше - Business (37%). 
Ці показники свідчать про складність матеріалу та недостатню мотивацію на різних етепах проходження курсів.
До проходження першої чверті навчання найбільше відсіюється студентів з курсу Marketing (12%) , найменше - Business (6%).
Після проходження першої чверті навчання найбільше відсіюється студентів з курсsd Design та  Data Science (13%) , найменше - Business (8%).
Після проходження половини навчання найбільше відсіюється студентів з курсу Design(13%) , найменше - Marketing (8%).
Після проходження третьої чверті навчання найбільше відсіюється студентів з курсу  Marketing (16%) , найменше - Data Science(10%).</t>
  </si>
  <si>
    <t>07.2023</t>
  </si>
  <si>
    <t>Середні значення збігаються з медіаною, це свідчить про відсутність викидів.</t>
  </si>
  <si>
    <t>08.2023</t>
  </si>
  <si>
    <t>09.2023</t>
  </si>
  <si>
    <t>10.2023</t>
  </si>
  <si>
    <t>11.2023</t>
  </si>
  <si>
    <t>Обчислення для студентів, що завершили курс</t>
  </si>
  <si>
    <t>12.2023</t>
  </si>
  <si>
    <t>Середній час проходження курсу Business становить 37 годин. На гістограмі видно, що більшість витрачає 27-32 години на навчання. Також є студенти, які проходять курс дуже швидко (12-17 год) та повільно (понад 56 годин).</t>
  </si>
  <si>
    <t xml:space="preserve">Ця таблиця показує кількість студентів, які записалися на кожен курс по місяцях.
Загалом пікові місяці набору на курси це проміжок липень-жовтень.
Пік записів на курс Business  спостерігався у серпні 2023 року, на курс Data Science - у липні та жовтні, на курс Design - у лютому, на курс Marketing - у травні. </t>
  </si>
  <si>
    <t>Коментар до стовчастої діагарми:</t>
  </si>
  <si>
    <t>Найбільше студентів записалося на курс Data Science (154), найменше - Business (141).  Курси Marketing та  Design займають також лідируючі позиції, оскільки відрізняються від Data Science лише на 1-2 студенти.</t>
  </si>
  <si>
    <t>Розрахувавши відсоток завершення кожного курсу бачимо, що всі курси проходить більше 50% студентів. Найбільше у відсотковому відношенні студенти завершують курс Business - а саме 63.12%, а найменше курс Design - 50.66%</t>
  </si>
  <si>
    <t>Ообчислення здійснені лише по студентам, що завершили курси</t>
  </si>
  <si>
    <t>1. Найдовше проходять курс Business (37 год), найшвидше - Data Science (30 год).
2. Найвищий рейтинг мають Business та Data Science (2,7), найнижчий - Marketing (2,4).
3. У середньому студенти проходять 48% матеріалу по кожному курсу. Найбільший прогрес мають курси Data Science та Marketing (49%), найменший - Business (46%).
4. Найбільше студентів залишаються через 30 днів на курсі  Data Science (64), найменше - Business (46).</t>
  </si>
  <si>
    <t>Висновок:</t>
  </si>
  <si>
    <t>Курс Data Science найпопулярніший, але % завершення середній (56%). Можливо, він складний або довгий. Ситуація по курсу Marketing аналогічна.</t>
  </si>
  <si>
    <t>Курс Business найменш популярний, але високий % завершення (63%). Напевно, він цікавий і легкий для студентів. Це можна використати для його популяризації.</t>
  </si>
  <si>
    <t>Середній час проходження курсу Data Science становить 30 годин. На гістограмі видно, що бльшістьстудентів витрачає на навчання 25-35 год. Невелика кількість студентів проходять курс дуже швидко (10-15 год) або повільно (понад 50 год).</t>
  </si>
  <si>
    <t>Курс Design має найменший % завершення (51%). Можливо варто переглянути наповнення курсу, оцінити складність та додати мотивацю студентів.</t>
  </si>
  <si>
    <t xml:space="preserve">Середній час проходження курсу Design становить 32 годин. На гістограмі видно, що бльшістьстудентів витрачає на навчання 20-35 год. Невелика кількість студентів проходять курс дуже швидко (10-15 год) або повільно (55-60 год). </t>
  </si>
  <si>
    <t xml:space="preserve">Середній час проходження курсу Marketing становить 33 годин. На гістограмі видно, що бльшість студентів витрачає на навчання 30-40 год. Невелика кількість студентів проходять курс дуже швидко (10-15 год) або повільно (55-60 год). </t>
  </si>
  <si>
    <t xml:space="preserve">Аналіз гістограм показує, що розподіл часу навчання  в усіх чотирьох курсах має схожу форму. Більшість студентів (що завершили курси) проходять їх за 30-37 годин і саме на цьому діапазоні спостерігається найбільша концентрація значень. У кожному курсі присутні студенти, які освоюють матеріал дуже швидко (10-15 год) та ті, які потребують більше часу (понад 56 год). </t>
  </si>
  <si>
    <t xml:space="preserve">Середній час проходження курсів становить 34 години, що є  більше ніж серед студентів, що завершили курс (33 год). На гістограмі видно, що бльшість студентів витрачає на навчання 30-40 год. Невелика кількість студентів проходять курс дуже швидко (10-15 год) або повільно (55-60 год). </t>
  </si>
  <si>
    <t>Скрін</t>
  </si>
  <si>
    <t>Запит</t>
  </si>
  <si>
    <t>Висновок</t>
  </si>
  <si>
    <r>
      <rPr>
        <rFont val="Arial"/>
        <i/>
        <color theme="1"/>
      </rPr>
      <t>--1. Який відсоток студентів завершили кожен курс?
--Цей запит рахує: кількість студентів, що записалися на курс; кількість студентів, що завершити курс; та знаходить частку студентів, що завершують проходження курсів.
-- Це допомагає оцінити складність курсу, зацікавленість.</t>
    </r>
    <r>
      <rPr>
        <rFont val="Arial"/>
        <color theme="1"/>
      </rPr>
      <t xml:space="preserve">
SELECT course_category, COUNT(student_id) AS total_students
, SUM(CASE 
        WHEN completed = 1 THEN 1 
        ELSE 0 
      END) AS completed_students
,ROUND((SUM(CASE 
       WHEN completed = 1 THEN 1 
       ELSE 0 
     END) / COUNT(student_id)) * 100) AS persent_completed
FROM `my-project-ziniuk.project_1_zi.edtech` 
GROUP BY course_category
ORDER BY persent_completed DESC
;</t>
    </r>
  </si>
  <si>
    <r>
      <rPr>
        <rFont val="Arial"/>
        <color theme="1"/>
      </rPr>
      <t>Загалом, більше половини студентів закінчують кожен курс, що вказує на достатню зацікавленість та ефективність навчального матеріалу.
Курс Business має найвищий відсоток завершення - 63%, що свідчить про його доступність або високу мотивацію студентів.
Курс Design має найнижчий відсоток завершення - 51%, можливо, він складніший або менш цікавий для студентів.</t>
    </r>
    <r>
      <rPr>
        <rFont val="Arial"/>
        <b/>
        <color theme="1"/>
      </rPr>
      <t xml:space="preserve"> 
</t>
    </r>
    <r>
      <rPr>
        <rFont val="Arial"/>
        <color theme="1"/>
      </rPr>
      <t>Курси Marketing і Data Science мають приблизно однаковий відсоток завершення - 56%, тобто вони середньої складності та привабливості.</t>
    </r>
  </si>
  <si>
    <r>
      <rPr>
        <rFont val="Arial"/>
        <i/>
        <color theme="1"/>
      </rPr>
      <t>--2. Яка середня тривалість проходження курсів серед студентів, що завершили курс?
--Цей запит обчислює середню кількість годин, витрачених на навчання серед студентів, які завершили курс.
--Цей запит допомагає оцінити обсяг та складність курсу, та рівень мотивації студентів.</t>
    </r>
    <r>
      <rPr>
        <rFont val="Arial"/>
        <color theme="1"/>
      </rPr>
      <t xml:space="preserve">
SELECT course_category, ROUND(AVG(hours_spent)) AS avg_hours_spent
FROM `my-project-ziniuk.project_1_zi.edtech` 
Where completed = 1
GROUP BY course_category
ORDER BY avg_hours_spent DESC
;</t>
    </r>
  </si>
  <si>
    <t>Курс Business має найдновше середнє проходження серед студентів, що завершили курс - 37 год, що свідчить про великий об'єм курсу або залученість студентів.
Курс Data Science має найшвидше середнє проходження серед студентів, що завершили курс - 30 год, можливо через невеликий об'єм, легший матеріал або меншу зацікавленість.
Середні значення для студентів, що завершили Marketing  (33 год) та Design (32 год) вказують на помірний обсяг, складність курсів та мотавацію студентів.</t>
  </si>
  <si>
    <r>
      <rPr>
        <rFont val="Arial"/>
        <i/>
        <color theme="1"/>
      </rPr>
      <t>--3. Яка середня тривалість проходження курсів серед студентів, що не завершили курс?
--Цей запит обчислює середню кількість годин, витрачених на навчання серед студентів, які не завершили курс.
--Цей запит допомагає зрозуміти скільки часу студенти навчалися перед тим як покинули курс, Можливо курс виявився заскладним</t>
    </r>
    <r>
      <rPr>
        <rFont val="Arial"/>
        <color theme="1"/>
      </rPr>
      <t>.
SELECT course_category,ROUND(AVG(hours_spent)) AS avg_hours_spent
FROM `my-project-ziniuk.project_1_zi.edtech` 
WHERE completed = 0
GROUP BY course_category
ORDER BY avg_hours_spent DESC
;</t>
    </r>
  </si>
  <si>
    <t>Загалом серед студентів, які не завершили курс, середній час проходження вищий, ніж у тих, хто завершив, що може свідчити про достатню мотивацію, але наявність складних етапів курсу.
Курс Data Science має найдновше середнє проходження серед студентів, що не завершили курс - 36 год, можливо через складність матеріалу.
Курс Marketing має найменше середнє проходження серед студентів, що не завершили курс - 34 год, тобто студенти швидше відсіюються.
Середні значення для студентів, що не завершили Business (35 год) та Design (35 год) насправді майже не відрізняється від попередніх.</t>
  </si>
  <si>
    <r>
      <rPr>
        <rFont val="Arial"/>
        <i/>
        <color theme="1"/>
      </rPr>
      <t>--4. Який % студентів кидає курс після досягнення певного прогресу: 25%,50%,75%?
--Цей запит обчислю % студентів, які покинули навчання на різних рівнях прогресу: 25%,50%,75%.
--Цей запит допомагає зрозуміти на якому етапі відсіюється найбільше студентів, та який етап курсу варто покращити</t>
    </r>
    <r>
      <rPr>
        <rFont val="Arial"/>
        <color theme="1"/>
      </rPr>
      <t>.
SELECT
  p.course_category,
  ROUND(p.drop_before_25 / p.total_students * 100) AS percent_drop_before_25,
  ROUND(p.drop_25_50 / p.total_students * 100)  AS percent_drop_25_50,
  ROUND(p.drop_50_75 / p.total_students * 100) AS percent_drop_50_75,
  ROUND(p.drop_after_75 / p.total_students * 100)  AS percent_drop_after_75
FROM (
  SELECT course_category,
    COUNT(student_id) AS total_students,
    COUNT(CASE WHEN progress_percent &lt; 25 AND completed = 0 THEN 1 END) AS drop_before_25,
    COUNT(CASE WHEN progress_percent BETWEEN 25 AND 50 AND completed = 0 THEN 1 END) AS drop_25_50,
    COUNT(CASE WHEN progress_percent BETWEEN 50 AND 75 AND completed = 0 THEN 1 END) AS drop_50_75,
    COUNT(CASE WHEN progress_percent &gt;= 75 AND completed = 0 THEN 1 END) AS drop_after_75
  FROM `my-project-ziniuk.project_1_zi.edtech`
  GROUP BY course_category
) p;</t>
    </r>
  </si>
  <si>
    <r>
      <rPr>
        <rFont val="Arial"/>
        <color rgb="FF202124"/>
        <sz val="10.0"/>
      </rPr>
      <t>Загалом найбільше студентів відсіюється з курсу Design, найменше - Business.
До проходження першої чверті навчання найбільше відсіюється студентів з курсу Marketing (12%) , найменше - Business (6%).
Після проходження першої чверті навчання найбільше відсіюється студентів з курсу Design (13%) , найменше - Business (8%).
Після проходження половини навчання найбільше відсіюється студентів з курсу Design(13%) та Business (13%) , найменше - Marketing (8%).
Після проходження третьої чверті навчання найбільше відсіюється студентів з курсу  Marketing (16%) , найменше - Data Science(10%).
Ці показники свідчать про складність матеріалу та недостатню мотивацію на різних етепах проходження курсів.</t>
    </r>
    <r>
      <rPr>
        <rFont val="'Roboto Mono', Consolas, 'Courier New', monospace"/>
        <color rgb="FF202124"/>
        <sz val="10.0"/>
      </rPr>
      <t xml:space="preserve">
</t>
    </r>
  </si>
  <si>
    <r>
      <rPr>
        <rFont val="Arial"/>
        <i/>
        <color theme="1"/>
      </rPr>
      <t>--5. Які курси мають середній рейтинг більше 2.5?
-- Цей запит обчислює середній рейтинг курсів та виводить курси, середній рейтинг яких більше 2.5.
--Цей запит допомагає визначити, які курси оцінюють найвище.</t>
    </r>
    <r>
      <rPr>
        <rFont val="Arial"/>
        <color theme="1"/>
      </rPr>
      <t xml:space="preserve">
SELECT course_category, ROUND(AVG(course_rating),1) AS avg_course_rating
FROM `my-project-ziniuk.project_1_zi.edtech`
GROUP BY course_category
HAVING ROUND(AVG(course_rating),1) &gt; 2.5
ORDER BY avg_course_rating DESC</t>
    </r>
  </si>
  <si>
    <t>Середній рейтинг вищий за 2.5 мають курси Business (2.7) та Data Science(2.6). Це свідчить про те, що студенти в цілому позитивно оцінюють ці курси. Курси Design і Marketing мають рейтинг нижче 2.5, що може вказувати на меншу зацікавленість або складність матеріалу.</t>
  </si>
  <si>
    <t>Аналітичний звіт по курсах</t>
  </si>
  <si>
    <t>Кількість курсів</t>
  </si>
  <si>
    <t>Загальна кількість студентів</t>
  </si>
  <si>
    <t>Середній рейтинг курсів</t>
  </si>
  <si>
    <t>Середній прогрес на курсі</t>
  </si>
  <si>
    <t>Середня тривалість навчання</t>
  </si>
  <si>
    <t>34 год</t>
  </si>
  <si>
    <t>Висновки</t>
  </si>
  <si>
    <t>Рекомендаці</t>
  </si>
  <si>
    <r>
      <rPr>
        <rFont val="Arial"/>
        <b/>
        <color theme="1"/>
      </rPr>
      <t>1. Динаміка записів і завершень</t>
    </r>
    <r>
      <rPr>
        <rFont val="Arial"/>
        <color theme="1"/>
      </rPr>
      <t xml:space="preserve">
Розподіл студентів між курсами є досить рівномірним, проте найбільше студентів обирають Data Science, що свідчить про вищий попит на цей напрямок.
В середньому кожен курс завершує більше половини студентів, що може вказувати на складність курсу, неефективну подачу навчального матеріалу або недостатню мотивацію студентів.
Курс Data Science найпопулярніший, але % завершення - середній (56%). Можливо, він складний або довгий. 
Курс Marketing - ситуація аналогічна.                        
Курс Business найменш популярний, але високий % завершення (63%). Напевно, він цікавий і легкий для студентів.                             
Курс Design має найменший % завершення (51%).</t>
    </r>
  </si>
  <si>
    <t>Переглянути наповнення курсу Design, оцінити складність та актуальність матеріалу, підвищити мотивацію студентів.</t>
  </si>
  <si>
    <r>
      <rPr>
        <rFont val="Arial"/>
        <b/>
        <color theme="1"/>
      </rPr>
      <t>2. Середній рейтинг курсів.</t>
    </r>
    <r>
      <rPr>
        <rFont val="Arial"/>
        <color theme="1"/>
      </rPr>
      <t xml:space="preserve">
Найвищі рейтинги мають курси Business (2.7) та Data Science(2.7). Курси Marketing (2.5) та Design (2.4) мають нижчі оцінки, що може свідчити про вищі очікування студентів або потребу в оновленні контенту.</t>
    </r>
  </si>
  <si>
    <t>Переглянути наповнення курсів: актуальність матеріалу, доступність викладання. Провести опитування, щодо комунікації під час навчання, викладу матеріалу,  мотивації.</t>
  </si>
  <si>
    <r>
      <rPr>
        <rFont val="Arial"/>
        <b/>
        <color theme="1"/>
      </rPr>
      <t>3.Тривалість навчання</t>
    </r>
    <r>
      <rPr>
        <rFont val="Arial"/>
        <color theme="1"/>
      </rPr>
      <t xml:space="preserve">
Розподіл тривалості навчання для всіх студентів та окремо для тих, хто завершив курс, показує, що середні значення та медіана майже не відрізняються. Це означає, що сильних викидів у даних немає, а загальний час навчання є стабільним.
Загалом серед студентів, які не завершили курс, середній час проходження (34) вищий, ніж у тих, хто завершив(33), що може свідчити про достатню мотивацію, але наявність складних етапів курсу.
Аналіз гістограм показує, що розподіл часу навчання  в усіх чотирьох курсах має схожу форму. Більшість студентів (що завершили курси) проходять їх за 30-37 годин і саме на цьому діапазоні спостерігається найбільша концентрація значень. У кожному курсі присутні студенти, які освоюють матеріал дуже швидко (10-15 год) та ті, які потребують більше часу (понад 56 год). 
Курс Business має найдновше середнє проходження серед студентів, що завершили курс - 37 год, що свідчить про великий об'єм курсу або залученість студентів.
Курс Data Science має найшвидше середнє проходження серед студентів, що завершили курс - 30 год, можливо через невеликий об'єм, легший матеріал.
Середні значення для студентів, що завершили Marketing  (33 год) та Design (32 год) вказують на помірний обсяг, складність курсів та мотавацію студентів.
</t>
    </r>
  </si>
  <si>
    <t>Переглянути об'єм та доступність викладання матеріалу на курсах.</t>
  </si>
  <si>
    <r>
      <rPr>
        <rFont val="Arial"/>
        <b/>
        <color theme="1"/>
      </rPr>
      <t>4. Рівні відсіву студентів</t>
    </r>
    <r>
      <rPr>
        <rFont val="Arial"/>
        <color theme="1"/>
      </rPr>
      <t xml:space="preserve">
Найбільше студентів припиняють навчання на курсах Design (48%) та Marketing (44%).
До проходження першої чверті навчання найбільше відсіюється студентів з курсу Marketing (12%) .
Після проходження першої чверті навчання найбільше відсіюється студентів з курсsd Design та  Data Science (13%).
Після проходження половини навчання найбільше відсіюється студентів з курсу Design(13%).).
Після проходження третьої чверті навчання найбільше відсіюється студентів з курсу  Marketing (16%).
Ці показники свідчать про складність матеріалу та недостатню мотивацію на різних етепах проходження курсів.</t>
    </r>
  </si>
  <si>
    <t>Провести короткі інтерв’ю зі студентами, щоб дізнатись, які саме модулі є складними. Перерозподілити навчальні години, виділити більше часу на складні теми. Збільшити тривалість курсу за потреби. 
Посилити підтримку студентів на ранніх етапах. Додати мотиваційні повідомлення або нагадування.
Покращити фінальні модулі, оскільки найбільший відсоток студентів відсіююється в останній чверті навчання.</t>
  </si>
  <si>
    <r>
      <rPr>
        <rFont val="Arial"/>
        <b/>
        <color theme="1"/>
      </rPr>
      <t xml:space="preserve">5. Записи на курси.
</t>
    </r>
    <r>
      <rPr>
        <rFont val="Arial"/>
        <color theme="1"/>
      </rPr>
      <t>Пікові місяці набору на курси це проміжок липень-жовтень.</t>
    </r>
  </si>
  <si>
    <t>В цей період варто запускати:
рекламні акції, пецпропозиції, нові потоки курсів.</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</si>
</sst>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d.MM.yyyy"/>
    <numFmt numFmtId="166" formatCode="#,##0.0"/>
  </numFmts>
  <fonts count="15">
    <font>
      <sz val="10.0"/>
      <color rgb="FF000000"/>
      <name val="Arial"/>
      <scheme val="minor"/>
    </font>
    <font>
      <sz val="14.0"/>
      <color rgb="FF2F2F37"/>
      <name val="Montserrat"/>
    </font>
    <font>
      <color theme="1"/>
      <name val="Arial"/>
      <scheme val="minor"/>
    </font>
    <font>
      <b/>
      <sz val="10.0"/>
      <color theme="1"/>
      <name val="Arial"/>
      <scheme val="minor"/>
    </font>
    <font>
      <b/>
      <sz val="14.0"/>
      <color theme="1"/>
      <name val="Arial"/>
      <scheme val="minor"/>
    </font>
    <font>
      <b/>
      <sz val="12.0"/>
      <color theme="1"/>
      <name val="Arial"/>
      <scheme val="minor"/>
    </font>
    <font>
      <sz val="10.0"/>
      <color theme="1"/>
      <name val="Arial"/>
      <scheme val="minor"/>
    </font>
    <font>
      <sz val="13.0"/>
      <color theme="1"/>
      <name val="Arial"/>
      <scheme val="minor"/>
    </font>
    <font>
      <color rgb="FFFFFFFF"/>
      <name val="Arial"/>
      <scheme val="minor"/>
    </font>
    <font>
      <b/>
      <color theme="1"/>
      <name val="Arial"/>
      <scheme val="minor"/>
    </font>
    <font/>
    <font>
      <b/>
      <sz val="14.0"/>
      <color rgb="FF202124"/>
      <name val="'Roboto Mono'"/>
    </font>
    <font>
      <sz val="9.0"/>
      <color rgb="FF202124"/>
      <name val="'Roboto Mono'"/>
    </font>
    <font>
      <b/>
      <sz val="19.0"/>
      <color theme="1"/>
      <name val="Arial"/>
      <scheme val="minor"/>
    </font>
    <font>
      <b/>
      <sz val="15.0"/>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6C7687"/>
        <bgColor rgb="FF6C7687"/>
      </patternFill>
    </fill>
    <fill>
      <patternFill patternType="solid">
        <fgColor rgb="FFCCCCCC"/>
        <bgColor rgb="FFCCCCCC"/>
      </patternFill>
    </fill>
    <fill>
      <patternFill patternType="solid">
        <fgColor rgb="FF666666"/>
        <bgColor rgb="FF666666"/>
      </patternFill>
    </fill>
    <fill>
      <patternFill patternType="solid">
        <fgColor rgb="FF999999"/>
        <bgColor rgb="FF999999"/>
      </patternFill>
    </fill>
    <fill>
      <patternFill patternType="solid">
        <fgColor theme="0"/>
        <bgColor theme="0"/>
      </patternFill>
    </fill>
    <fill>
      <patternFill patternType="solid">
        <fgColor rgb="FFF3F3F3"/>
        <bgColor rgb="FFF3F3F3"/>
      </patternFill>
    </fill>
    <fill>
      <patternFill patternType="solid">
        <fgColor rgb="FFEBEFF1"/>
        <bgColor rgb="FFEBEFF1"/>
      </patternFill>
    </fill>
    <fill>
      <patternFill patternType="solid">
        <fgColor rgb="FFD9D9D9"/>
        <bgColor rgb="FFD9D9D9"/>
      </patternFill>
    </fill>
    <fill>
      <patternFill patternType="solid">
        <fgColor rgb="FFEFEFEF"/>
        <bgColor rgb="FFEFEFEF"/>
      </patternFill>
    </fill>
    <fill>
      <patternFill patternType="solid">
        <fgColor rgb="FFFFD966"/>
        <bgColor rgb="FFFFD966"/>
      </patternFill>
    </fill>
  </fills>
  <borders count="12">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Alignment="1" applyFont="1">
      <alignment readingOrder="0"/>
    </xf>
    <xf borderId="0" fillId="0" fontId="2" numFmtId="164" xfId="0" applyAlignment="1" applyFont="1" applyNumberFormat="1">
      <alignment readingOrder="0"/>
    </xf>
    <xf borderId="0" fillId="0" fontId="3" numFmtId="49" xfId="0" applyAlignment="1" applyFont="1" applyNumberFormat="1">
      <alignment readingOrder="0" shrinkToFit="0" wrapText="1"/>
    </xf>
    <xf borderId="0" fillId="0" fontId="3" numFmtId="165" xfId="0" applyAlignment="1" applyFont="1" applyNumberFormat="1">
      <alignment readingOrder="0" shrinkToFit="0" wrapText="1"/>
    </xf>
    <xf borderId="0" fillId="0" fontId="3" numFmtId="0" xfId="0" applyAlignment="1" applyFont="1">
      <alignment readingOrder="0" shrinkToFit="0" wrapText="1"/>
    </xf>
    <xf borderId="0" fillId="0" fontId="3" numFmtId="166" xfId="0" applyAlignment="1" applyFont="1" applyNumberFormat="1">
      <alignment readingOrder="0" shrinkToFit="0" wrapText="1"/>
    </xf>
    <xf borderId="0" fillId="0" fontId="3" numFmtId="3" xfId="0" applyAlignment="1" applyFont="1" applyNumberFormat="1">
      <alignment readingOrder="0" shrinkToFit="0" wrapText="1"/>
    </xf>
    <xf borderId="0" fillId="0" fontId="2" numFmtId="0" xfId="0" applyAlignment="1" applyFont="1">
      <alignment readingOrder="0" shrinkToFit="0" wrapText="1"/>
    </xf>
    <xf borderId="0" fillId="3" fontId="2" numFmtId="0" xfId="0" applyAlignment="1" applyFill="1" applyFont="1">
      <alignment readingOrder="0" shrinkToFit="0" wrapText="1"/>
    </xf>
    <xf borderId="0" fillId="3" fontId="2" numFmtId="0" xfId="0" applyFont="1"/>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2" numFmtId="0" xfId="0" applyAlignment="1" applyFont="1">
      <alignment shrinkToFit="0" wrapText="1"/>
    </xf>
    <xf borderId="0" fillId="0" fontId="2" numFmtId="0" xfId="0" applyAlignment="1" applyFont="1">
      <alignment shrinkToFit="0" wrapText="1"/>
    </xf>
    <xf borderId="0" fillId="0" fontId="6" numFmtId="3" xfId="0" applyAlignment="1" applyFont="1" applyNumberFormat="1">
      <alignment readingOrder="0" shrinkToFit="0" wrapText="1"/>
    </xf>
    <xf borderId="0" fillId="0" fontId="6" numFmtId="49" xfId="0" applyAlignment="1" applyFont="1" applyNumberFormat="1">
      <alignment readingOrder="0" shrinkToFit="0" wrapText="1"/>
    </xf>
    <xf borderId="0" fillId="0" fontId="6" numFmtId="3" xfId="0" applyAlignment="1" applyFont="1" applyNumberFormat="1">
      <alignment readingOrder="0" shrinkToFit="0" wrapText="1"/>
    </xf>
    <xf borderId="0" fillId="3" fontId="4" numFmtId="0" xfId="0" applyAlignment="1" applyFont="1">
      <alignment horizontal="center" readingOrder="0" shrinkToFit="0" wrapText="1"/>
    </xf>
    <xf borderId="0" fillId="3" fontId="7" numFmtId="0" xfId="0" applyAlignment="1" applyFont="1">
      <alignment readingOrder="0" shrinkToFit="0" wrapText="1"/>
    </xf>
    <xf borderId="0" fillId="0" fontId="2" numFmtId="49"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3" xfId="0" applyAlignment="1" applyFont="1" applyNumberFormat="1">
      <alignment readingOrder="0"/>
    </xf>
    <xf borderId="0" fillId="0" fontId="2" numFmtId="49" xfId="0" applyFont="1" applyNumberFormat="1"/>
    <xf borderId="0" fillId="4" fontId="2" numFmtId="0" xfId="0" applyFill="1" applyFont="1"/>
    <xf borderId="0" fillId="4" fontId="8" numFmtId="0" xfId="0" applyAlignment="1" applyFont="1">
      <alignment horizontal="center" readingOrder="0"/>
    </xf>
    <xf borderId="0" fillId="0" fontId="2" numFmtId="3" xfId="0" applyFont="1" applyNumberFormat="1"/>
    <xf borderId="1" fillId="0" fontId="9" numFmtId="0" xfId="0" applyAlignment="1" applyBorder="1" applyFont="1">
      <alignment readingOrder="0"/>
    </xf>
    <xf borderId="0" fillId="5" fontId="2" numFmtId="49" xfId="0" applyFill="1" applyFont="1" applyNumberFormat="1"/>
    <xf borderId="0" fillId="6" fontId="2" numFmtId="0" xfId="0" applyAlignment="1" applyFill="1" applyFont="1">
      <alignment shrinkToFit="0" wrapText="1"/>
    </xf>
    <xf borderId="0" fillId="6" fontId="8" numFmtId="0" xfId="0" applyAlignment="1" applyFont="1">
      <alignment readingOrder="0" shrinkToFit="0" wrapText="1"/>
    </xf>
    <xf borderId="0" fillId="7" fontId="2" numFmtId="0" xfId="0" applyAlignment="1" applyFill="1" applyFont="1">
      <alignment readingOrder="0" shrinkToFit="0" wrapText="1"/>
    </xf>
    <xf borderId="0" fillId="5" fontId="2" numFmtId="0" xfId="0" applyFont="1"/>
    <xf borderId="0" fillId="6" fontId="2" numFmtId="49" xfId="0" applyFont="1" applyNumberFormat="1"/>
    <xf borderId="0" fillId="6" fontId="2" numFmtId="0" xfId="0" applyFont="1"/>
    <xf borderId="0" fillId="0" fontId="2" numFmtId="0" xfId="0" applyFont="1"/>
    <xf borderId="0" fillId="8" fontId="2" numFmtId="3" xfId="0" applyFill="1" applyFont="1" applyNumberFormat="1"/>
    <xf borderId="0" fillId="8" fontId="2" numFmtId="9" xfId="0" applyFont="1" applyNumberFormat="1"/>
    <xf borderId="2" fillId="0" fontId="2" numFmtId="0" xfId="0" applyAlignment="1" applyBorder="1" applyFont="1">
      <alignment readingOrder="0" shrinkToFit="0" vertical="top" wrapText="1"/>
    </xf>
    <xf borderId="0" fillId="9" fontId="2" numFmtId="49" xfId="0" applyFill="1" applyFont="1" applyNumberFormat="1"/>
    <xf borderId="0" fillId="0" fontId="2" numFmtId="166" xfId="0" applyFont="1" applyNumberFormat="1"/>
    <xf borderId="0" fillId="2" fontId="2" numFmtId="0" xfId="0" applyAlignment="1" applyFont="1">
      <alignment shrinkToFit="0" wrapText="1"/>
    </xf>
    <xf borderId="0" fillId="0" fontId="2" numFmtId="9" xfId="0" applyFont="1" applyNumberFormat="1"/>
    <xf borderId="0" fillId="0" fontId="2" numFmtId="9" xfId="0" applyAlignment="1" applyFont="1" applyNumberFormat="1">
      <alignment shrinkToFit="0" wrapText="1"/>
    </xf>
    <xf borderId="2" fillId="0" fontId="10" numFmtId="0" xfId="0" applyBorder="1" applyFont="1"/>
    <xf borderId="0" fillId="0" fontId="2" numFmtId="165" xfId="0" applyFont="1" applyNumberFormat="1"/>
    <xf borderId="0" fillId="10" fontId="2" numFmtId="0" xfId="0" applyFill="1" applyFont="1"/>
    <xf borderId="0" fillId="10" fontId="2" numFmtId="3" xfId="0" applyFont="1" applyNumberFormat="1"/>
    <xf borderId="0" fillId="10" fontId="2" numFmtId="9" xfId="0" applyFont="1" applyNumberFormat="1"/>
    <xf borderId="0" fillId="5" fontId="2" numFmtId="3" xfId="0" applyFont="1" applyNumberFormat="1"/>
    <xf borderId="0" fillId="5" fontId="2" numFmtId="166" xfId="0" applyFont="1" applyNumberFormat="1"/>
    <xf borderId="0" fillId="11" fontId="2" numFmtId="0" xfId="0" applyAlignment="1" applyFill="1" applyFont="1">
      <alignment shrinkToFit="0" wrapText="1"/>
    </xf>
    <xf borderId="0" fillId="12" fontId="2" numFmtId="9" xfId="0" applyFill="1" applyFont="1" applyNumberFormat="1"/>
    <xf borderId="0" fillId="12" fontId="2" numFmtId="9" xfId="0" applyAlignment="1" applyFont="1" applyNumberFormat="1">
      <alignment shrinkToFit="0" wrapText="1"/>
    </xf>
    <xf borderId="0" fillId="11" fontId="2" numFmtId="9" xfId="0" applyAlignment="1" applyFont="1" applyNumberFormat="1">
      <alignment shrinkToFit="0" wrapText="1"/>
    </xf>
    <xf borderId="0" fillId="9" fontId="2" numFmtId="0" xfId="0" applyAlignment="1" applyFont="1">
      <alignment readingOrder="0"/>
    </xf>
    <xf borderId="0" fillId="9" fontId="2" numFmtId="3" xfId="0" applyFont="1" applyNumberFormat="1"/>
    <xf borderId="0" fillId="9" fontId="2" numFmtId="166" xfId="0" applyFont="1" applyNumberFormat="1"/>
    <xf borderId="3" fillId="0" fontId="10" numFmtId="0" xfId="0" applyBorder="1" applyFont="1"/>
    <xf borderId="4" fillId="0" fontId="9" numFmtId="0" xfId="0" applyAlignment="1" applyBorder="1" applyFont="1">
      <alignment readingOrder="0"/>
    </xf>
    <xf borderId="5" fillId="0" fontId="2" numFmtId="0" xfId="0" applyBorder="1" applyFont="1"/>
    <xf borderId="6" fillId="0" fontId="2" numFmtId="0" xfId="0" applyBorder="1" applyFont="1"/>
    <xf borderId="0" fillId="2" fontId="9" numFmtId="0" xfId="0" applyAlignment="1" applyFont="1">
      <alignment readingOrder="0" shrinkToFit="0" wrapText="1"/>
    </xf>
    <xf borderId="7" fillId="0" fontId="2" numFmtId="0" xfId="0" applyAlignment="1" applyBorder="1" applyFont="1">
      <alignment readingOrder="0" shrinkToFit="0" wrapText="1"/>
    </xf>
    <xf borderId="8" fillId="0" fontId="10" numFmtId="0" xfId="0" applyBorder="1" applyFont="1"/>
    <xf borderId="0" fillId="2" fontId="2" numFmtId="0" xfId="0" applyAlignment="1" applyFont="1">
      <alignment readingOrder="0" shrinkToFit="0" wrapText="1"/>
    </xf>
    <xf borderId="7" fillId="0" fontId="10" numFmtId="0" xfId="0" applyBorder="1" applyFont="1"/>
    <xf borderId="0" fillId="0" fontId="2" numFmtId="165" xfId="0" applyAlignment="1" applyFont="1" applyNumberFormat="1">
      <alignment shrinkToFit="0" wrapText="1"/>
    </xf>
    <xf borderId="0" fillId="3" fontId="2" numFmtId="0" xfId="0" applyAlignment="1" applyFont="1">
      <alignment readingOrder="0"/>
    </xf>
    <xf borderId="0" fillId="3" fontId="9" numFmtId="0" xfId="0" applyAlignment="1" applyFont="1">
      <alignment readingOrder="0"/>
    </xf>
    <xf borderId="9" fillId="0" fontId="10" numFmtId="0" xfId="0" applyBorder="1" applyFont="1"/>
    <xf borderId="10" fillId="0" fontId="10" numFmtId="0" xfId="0" applyBorder="1" applyFont="1"/>
    <xf borderId="11" fillId="0" fontId="10" numFmtId="0" xfId="0" applyBorder="1" applyFont="1"/>
    <xf borderId="2" fillId="0" fontId="2" numFmtId="0" xfId="0" applyAlignment="1" applyBorder="1" applyFont="1">
      <alignment readingOrder="0" shrinkToFit="0" wrapText="1"/>
    </xf>
    <xf borderId="0" fillId="11" fontId="2" numFmtId="0" xfId="0" applyFont="1"/>
    <xf borderId="0" fillId="11" fontId="2" numFmtId="3" xfId="0" applyFont="1" applyNumberFormat="1"/>
    <xf borderId="0" fillId="11" fontId="2" numFmtId="166" xfId="0" applyFont="1" applyNumberFormat="1"/>
    <xf borderId="4" fillId="8" fontId="9" numFmtId="0" xfId="0" applyAlignment="1" applyBorder="1" applyFont="1">
      <alignment readingOrder="0"/>
    </xf>
    <xf borderId="5" fillId="8" fontId="2" numFmtId="0" xfId="0" applyBorder="1" applyFont="1"/>
    <xf borderId="6" fillId="8" fontId="2" numFmtId="0" xfId="0" applyBorder="1" applyFont="1"/>
    <xf borderId="7" fillId="0" fontId="2" numFmtId="0" xfId="0" applyAlignment="1" applyBorder="1" applyFont="1">
      <alignment readingOrder="0" shrinkToFit="0" vertical="top" wrapText="1"/>
    </xf>
    <xf borderId="7" fillId="8" fontId="2" numFmtId="0" xfId="0" applyAlignment="1" applyBorder="1" applyFont="1">
      <alignment readingOrder="0" shrinkToFit="0" vertical="top" wrapText="1"/>
    </xf>
    <xf borderId="7" fillId="0" fontId="9" numFmtId="0" xfId="0" applyAlignment="1" applyBorder="1" applyFont="1">
      <alignment readingOrder="0" shrinkToFit="0" wrapText="1"/>
    </xf>
    <xf borderId="5" fillId="0" fontId="10" numFmtId="0" xfId="0" applyBorder="1" applyFont="1"/>
    <xf borderId="6" fillId="0" fontId="10" numFmtId="0" xfId="0" applyBorder="1" applyFont="1"/>
    <xf borderId="0" fillId="3" fontId="2" numFmtId="0" xfId="0" applyAlignment="1" applyFont="1">
      <alignment horizontal="left" readingOrder="0" shrinkToFit="0" vertical="top" wrapText="1"/>
    </xf>
    <xf borderId="5" fillId="3" fontId="2" numFmtId="0" xfId="0" applyAlignment="1" applyBorder="1" applyFont="1">
      <alignment readingOrder="0" shrinkToFit="0" wrapText="1"/>
    </xf>
    <xf borderId="0" fillId="2" fontId="11" numFmtId="0" xfId="0" applyAlignment="1" applyFont="1">
      <alignment horizontal="center" readingOrder="0"/>
    </xf>
    <xf borderId="0" fillId="0" fontId="4" numFmtId="0" xfId="0" applyAlignment="1" applyFont="1">
      <alignment horizontal="center" readingOrder="0" shrinkToFit="0" wrapText="1"/>
    </xf>
    <xf borderId="0" fillId="0" fontId="4" numFmtId="0" xfId="0" applyAlignment="1" applyFont="1">
      <alignment horizontal="center" readingOrder="0"/>
    </xf>
    <xf borderId="0" fillId="2" fontId="12"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vertical="top"/>
    </xf>
    <xf borderId="0" fillId="2" fontId="12" numFmtId="0" xfId="0" applyFont="1"/>
    <xf borderId="0" fillId="2" fontId="12" numFmtId="0" xfId="0" applyAlignment="1" applyFont="1">
      <alignment readingOrder="0" shrinkToFit="0" vertical="top" wrapText="1"/>
    </xf>
    <xf borderId="0" fillId="13" fontId="13" numFmtId="0" xfId="0" applyAlignment="1" applyFill="1" applyFont="1">
      <alignment horizontal="center" readingOrder="0"/>
    </xf>
    <xf borderId="0" fillId="13" fontId="5" numFmtId="0" xfId="0" applyAlignment="1" applyFont="1">
      <alignment horizontal="center" readingOrder="0"/>
    </xf>
    <xf borderId="0" fillId="3" fontId="5" numFmtId="0" xfId="0" applyAlignment="1" applyFont="1">
      <alignment horizontal="center"/>
    </xf>
    <xf borderId="0" fillId="13" fontId="5" numFmtId="0" xfId="0" applyAlignment="1" applyFont="1">
      <alignment horizontal="center" readingOrder="0" shrinkToFit="0" wrapText="1"/>
    </xf>
    <xf borderId="0" fillId="13" fontId="14" numFmtId="0" xfId="0" applyAlignment="1" applyFont="1">
      <alignment horizontal="center" readingOrder="0"/>
    </xf>
    <xf borderId="0" fillId="3" fontId="14" numFmtId="0" xfId="0" applyAlignment="1" applyFont="1">
      <alignment horizontal="center"/>
    </xf>
    <xf borderId="0" fillId="13" fontId="14" numFmtId="9" xfId="0" applyAlignment="1" applyFont="1" applyNumberFormat="1">
      <alignment horizontal="center" readingOrder="0"/>
    </xf>
    <xf borderId="0" fillId="3" fontId="8" numFmtId="0" xfId="0" applyAlignment="1" applyFont="1">
      <alignment horizontal="center" readingOrder="0"/>
    </xf>
    <xf borderId="0" fillId="3" fontId="2" numFmtId="9" xfId="0" applyFont="1" applyNumberFormat="1"/>
    <xf borderId="0" fillId="0" fontId="9" numFmtId="0" xfId="0" applyAlignment="1" applyFont="1">
      <alignment readingOrder="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666666"/>
                </a:solidFill>
                <a:latin typeface="+mn-lt"/>
              </a:defRPr>
            </a:pPr>
            <a:r>
              <a:rPr b="0">
                <a:solidFill>
                  <a:srgbClr val="666666"/>
                </a:solidFill>
                <a:latin typeface="+mn-lt"/>
              </a:rPr>
              <a:t>Розподіл студентів по курсах</a:t>
            </a:r>
          </a:p>
        </c:rich>
      </c:tx>
      <c:overlay val="0"/>
    </c:title>
    <c:plotArea>
      <c:layout/>
      <c:pieChart>
        <c:varyColors val="1"/>
        <c:ser>
          <c:idx val="0"/>
          <c:order val="0"/>
          <c:tx>
            <c:strRef>
              <c:f>EDA!$R$2</c:f>
            </c:strRef>
          </c:tx>
          <c:dPt>
            <c:idx val="0"/>
            <c:spPr>
              <a:solidFill>
                <a:srgbClr val="FCE5CD"/>
              </a:solidFill>
              <a:ln cmpd="sng" w="9525">
                <a:solidFill>
                  <a:srgbClr val="999999"/>
                </a:solidFill>
              </a:ln>
            </c:spPr>
          </c:dPt>
          <c:dPt>
            <c:idx val="1"/>
            <c:explosion val="0"/>
            <c:spPr>
              <a:solidFill>
                <a:schemeClr val="accent3"/>
              </a:solidFill>
              <a:ln cmpd="sng" w="9525">
                <a:solidFill>
                  <a:srgbClr val="999999"/>
                </a:solidFill>
              </a:ln>
            </c:spPr>
          </c:dPt>
          <c:dPt>
            <c:idx val="2"/>
            <c:spPr>
              <a:solidFill>
                <a:srgbClr val="FFE599"/>
              </a:solidFill>
              <a:ln cmpd="sng" w="9525">
                <a:solidFill>
                  <a:srgbClr val="999999"/>
                </a:solidFill>
              </a:ln>
            </c:spPr>
          </c:dPt>
          <c:dPt>
            <c:idx val="3"/>
            <c:spPr>
              <a:solidFill>
                <a:srgbClr val="FFD966"/>
              </a:solidFill>
              <a:ln cmpd="sng" w="9525">
                <a:solidFill>
                  <a:srgbClr val="999999"/>
                </a:solidFill>
              </a:ln>
            </c:spPr>
          </c:dPt>
          <c:dLbls>
            <c:dLbl>
              <c:idx val="0"/>
              <c:txPr>
                <a:bodyPr/>
                <a:lstStyle/>
                <a:p>
                  <a:pPr lvl="0">
                    <a:defRPr b="0"/>
                  </a:pPr>
                </a:p>
              </c:txPr>
              <c:showLegendKey val="0"/>
              <c:showVal val="1"/>
              <c:showCatName val="0"/>
              <c:showSerName val="0"/>
              <c:showPercent val="0"/>
              <c:showBubbleSize val="0"/>
            </c:dLbl>
            <c:dLbl>
              <c:idx val="1"/>
              <c:txPr>
                <a:bodyPr/>
                <a:lstStyle/>
                <a:p>
                  <a:pPr lvl="0">
                    <a:defRPr b="0"/>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EDA!$Q$3:$Q$6</c:f>
            </c:strRef>
          </c:cat>
          <c:val>
            <c:numRef>
              <c:f>EDA!$R$3:$R$6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Студенти, що завершили курс</a:t>
            </a:r>
          </a:p>
        </c:rich>
      </c:tx>
      <c:overlay val="0"/>
    </c:title>
    <c:plotArea>
      <c:layout/>
      <c:barChart>
        <c:barDir val="col"/>
        <c:ser>
          <c:idx val="0"/>
          <c:order val="0"/>
          <c:tx>
            <c:v>кількість студентів, що записалися на курс</c:v>
          </c:tx>
          <c:spPr>
            <a:solidFill>
              <a:schemeClr val="accent3"/>
            </a:solidFill>
            <a:ln cmpd="sng">
              <a:solidFill>
                <a:srgbClr val="000000"/>
              </a:solidFill>
            </a:ln>
          </c:spPr>
          <c:dPt>
            <c:idx val="0"/>
          </c:dPt>
          <c:dPt>
            <c:idx val="3"/>
          </c:dPt>
          <c:dLbls>
            <c:numFmt formatCode="General" sourceLinked="1"/>
            <c:txPr>
              <a:bodyPr/>
              <a:lstStyle/>
              <a:p>
                <a:pPr lvl="0">
                  <a:defRPr b="0"/>
                </a:pPr>
              </a:p>
            </c:txPr>
            <c:showLegendKey val="0"/>
            <c:showVal val="1"/>
            <c:showCatName val="0"/>
            <c:showSerName val="0"/>
            <c:showPercent val="0"/>
            <c:showBubbleSize val="0"/>
          </c:dLbls>
          <c:cat>
            <c:strRef>
              <c:f>EDA!$Q$3:$Q$6</c:f>
            </c:strRef>
          </c:cat>
          <c:val>
            <c:numRef>
              <c:f>EDA!$R$3:$R$6</c:f>
              <c:numCache/>
            </c:numRef>
          </c:val>
        </c:ser>
        <c:axId val="1656993953"/>
        <c:axId val="697253181"/>
      </c:barChart>
      <c:lineChart>
        <c:varyColors val="0"/>
        <c:ser>
          <c:idx val="1"/>
          <c:order val="1"/>
          <c:tx>
            <c:v>кількість студентів, що завершили навчання</c:v>
          </c:tx>
          <c:spPr>
            <a:ln cmpd="sng" w="19050">
              <a:solidFill>
                <a:srgbClr val="93C47D">
                  <a:alpha val="100000"/>
                </a:srgbClr>
              </a:solidFill>
              <a:prstDash val="sysDot"/>
            </a:ln>
          </c:spPr>
          <c:marker>
            <c:symbol val="circle"/>
            <c:size val="7"/>
            <c:spPr>
              <a:solidFill>
                <a:srgbClr val="93C47D">
                  <a:alpha val="100000"/>
                </a:srgbClr>
              </a:solidFill>
              <a:ln cmpd="sng">
                <a:solidFill>
                  <a:srgbClr val="93C47D">
                    <a:alpha val="100000"/>
                  </a:srgbClr>
                </a:solidFill>
              </a:ln>
            </c:spPr>
          </c:marker>
          <c:dPt>
            <c:idx val="0"/>
            <c:marker>
              <c:symbol val="none"/>
            </c:marker>
          </c:dPt>
          <c:dLbls>
            <c:numFmt formatCode="General" sourceLinked="1"/>
            <c:txPr>
              <a:bodyPr/>
              <a:lstStyle/>
              <a:p>
                <a:pPr lvl="0">
                  <a:defRPr b="1" i="0"/>
                </a:pPr>
              </a:p>
            </c:txPr>
            <c:showLegendKey val="0"/>
            <c:showVal val="1"/>
            <c:showCatName val="0"/>
            <c:showSerName val="0"/>
            <c:showPercent val="0"/>
            <c:showBubbleSize val="0"/>
          </c:dLbls>
          <c:cat>
            <c:strRef>
              <c:f>EDA!$Q$3:$Q$6</c:f>
            </c:strRef>
          </c:cat>
          <c:val>
            <c:numRef>
              <c:f>EDA!$S$3:$S$6</c:f>
              <c:numCache/>
            </c:numRef>
          </c:val>
          <c:smooth val="0"/>
        </c:ser>
        <c:axId val="1656993953"/>
        <c:axId val="697253181"/>
      </c:lineChart>
      <c:catAx>
        <c:axId val="1656993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курси</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697253181"/>
      </c:catAx>
      <c:valAx>
        <c:axId val="697253181"/>
        <c:scaling>
          <c:orientation val="minMax"/>
          <c:min val="5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кільсть студентів</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6993953"/>
      </c:valAx>
    </c:plotArea>
    <c:legend>
      <c:legendPos val="b"/>
      <c:legendEntry>
        <c:idx val="1"/>
        <c:txPr>
          <a:bodyPr/>
          <a:lstStyle/>
          <a:p>
            <a:pPr lvl="0">
              <a:defRPr>
                <a:latin typeface="Arial"/>
              </a:defRPr>
            </a:pPr>
          </a:p>
        </c:txPr>
      </c:legendEntry>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Динаміка записів на курс по місяцях</a:t>
            </a:r>
          </a:p>
        </c:rich>
      </c:tx>
      <c:overlay val="0"/>
    </c:title>
    <c:plotArea>
      <c:layout/>
      <c:lineChart>
        <c:ser>
          <c:idx val="0"/>
          <c:order val="0"/>
          <c:tx>
            <c:strRef>
              <c:f>EDA!$BG$2:$BG$3</c:f>
            </c:strRef>
          </c:tx>
          <c:spPr>
            <a:ln cmpd="sng" w="38100">
              <a:solidFill>
                <a:srgbClr val="3C78D8">
                  <a:alpha val="100000"/>
                </a:srgbClr>
              </a:solidFill>
              <a:prstDash val="solid"/>
            </a:ln>
          </c:spPr>
          <c:marker>
            <c:symbol val="none"/>
          </c:marker>
          <c:cat>
            <c:strRef>
              <c:f>EDA!$BF$4:$BF$15</c:f>
            </c:strRef>
          </c:cat>
          <c:val>
            <c:numRef>
              <c:f>EDA!$BG$4:$BG$15</c:f>
              <c:numCache/>
            </c:numRef>
          </c:val>
          <c:smooth val="0"/>
        </c:ser>
        <c:ser>
          <c:idx val="1"/>
          <c:order val="1"/>
          <c:tx>
            <c:strRef>
              <c:f>EDA!$BH$2:$BH$3</c:f>
            </c:strRef>
          </c:tx>
          <c:spPr>
            <a:ln cmpd="sng" w="38100">
              <a:solidFill>
                <a:srgbClr val="E06666">
                  <a:alpha val="100000"/>
                </a:srgbClr>
              </a:solidFill>
              <a:prstDash val="solid"/>
            </a:ln>
          </c:spPr>
          <c:marker>
            <c:symbol val="none"/>
          </c:marker>
          <c:cat>
            <c:strRef>
              <c:f>EDA!$BF$4:$BF$15</c:f>
            </c:strRef>
          </c:cat>
          <c:val>
            <c:numRef>
              <c:f>EDA!$BH$4:$BH$15</c:f>
              <c:numCache/>
            </c:numRef>
          </c:val>
          <c:smooth val="0"/>
        </c:ser>
        <c:ser>
          <c:idx val="2"/>
          <c:order val="2"/>
          <c:tx>
            <c:strRef>
              <c:f>EDA!$BI$2:$BI$3</c:f>
            </c:strRef>
          </c:tx>
          <c:spPr>
            <a:ln cmpd="sng" w="38100">
              <a:solidFill>
                <a:srgbClr val="FBBC04"/>
              </a:solidFill>
              <a:prstDash val="solid"/>
            </a:ln>
          </c:spPr>
          <c:marker>
            <c:symbol val="none"/>
          </c:marker>
          <c:cat>
            <c:strRef>
              <c:f>EDA!$BF$4:$BF$15</c:f>
            </c:strRef>
          </c:cat>
          <c:val>
            <c:numRef>
              <c:f>EDA!$BI$4:$BI$15</c:f>
              <c:numCache/>
            </c:numRef>
          </c:val>
          <c:smooth val="0"/>
        </c:ser>
        <c:ser>
          <c:idx val="3"/>
          <c:order val="3"/>
          <c:tx>
            <c:strRef>
              <c:f>EDA!$BJ$2:$BJ$3</c:f>
            </c:strRef>
          </c:tx>
          <c:spPr>
            <a:ln cmpd="sng" w="38100">
              <a:solidFill>
                <a:srgbClr val="93C47D">
                  <a:alpha val="100000"/>
                </a:srgbClr>
              </a:solidFill>
              <a:prstDash val="solid"/>
            </a:ln>
          </c:spPr>
          <c:marker>
            <c:symbol val="none"/>
          </c:marker>
          <c:cat>
            <c:strRef>
              <c:f>EDA!$BF$4:$BF$15</c:f>
            </c:strRef>
          </c:cat>
          <c:val>
            <c:numRef>
              <c:f>EDA!$BJ$4:$BJ$15</c:f>
              <c:numCache/>
            </c:numRef>
          </c:val>
          <c:smooth val="0"/>
        </c:ser>
        <c:axId val="1856665588"/>
        <c:axId val="1426076860"/>
      </c:lineChart>
      <c:catAx>
        <c:axId val="1856665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1426076860"/>
      </c:catAx>
      <c:valAx>
        <c:axId val="14260768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кількість студентів</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66558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Розподіл студентів по курсах</a:t>
            </a:r>
          </a:p>
        </c:rich>
      </c:tx>
      <c:overlay val="0"/>
    </c:title>
    <c:plotArea>
      <c:layout/>
      <c:pieChart>
        <c:varyColors val="1"/>
        <c:ser>
          <c:idx val="0"/>
          <c:order val="0"/>
          <c:tx>
            <c:strRef>
              <c:f>EDA!$R$2</c:f>
            </c:strRef>
          </c:tx>
          <c:dPt>
            <c:idx val="0"/>
            <c:spPr>
              <a:solidFill>
                <a:srgbClr val="FCE5CD"/>
              </a:solidFill>
              <a:ln cmpd="sng" w="9525">
                <a:solidFill>
                  <a:srgbClr val="999999"/>
                </a:solidFill>
              </a:ln>
            </c:spPr>
          </c:dPt>
          <c:dPt>
            <c:idx val="1"/>
            <c:explosion val="0"/>
            <c:spPr>
              <a:solidFill>
                <a:schemeClr val="accent3"/>
              </a:solidFill>
              <a:ln cmpd="sng" w="9525">
                <a:solidFill>
                  <a:srgbClr val="999999"/>
                </a:solidFill>
              </a:ln>
            </c:spPr>
          </c:dPt>
          <c:dPt>
            <c:idx val="2"/>
            <c:spPr>
              <a:solidFill>
                <a:srgbClr val="FFE599"/>
              </a:solidFill>
              <a:ln cmpd="sng" w="9525">
                <a:solidFill>
                  <a:srgbClr val="999999"/>
                </a:solidFill>
              </a:ln>
            </c:spPr>
          </c:dPt>
          <c:dPt>
            <c:idx val="3"/>
            <c:spPr>
              <a:solidFill>
                <a:srgbClr val="FFD966"/>
              </a:solidFill>
              <a:ln cmpd="sng" w="9525">
                <a:solidFill>
                  <a:srgbClr val="999999"/>
                </a:solidFill>
              </a:ln>
            </c:spPr>
          </c:dPt>
          <c:dLbls>
            <c:dLbl>
              <c:idx val="0"/>
              <c:txPr>
                <a:bodyPr/>
                <a:lstStyle/>
                <a:p>
                  <a:pPr lvl="0">
                    <a:defRPr b="0"/>
                  </a:pPr>
                </a:p>
              </c:txPr>
              <c:showLegendKey val="0"/>
              <c:showVal val="1"/>
              <c:showCatName val="0"/>
              <c:showSerName val="0"/>
              <c:showPercent val="0"/>
              <c:showBubbleSize val="0"/>
            </c:dLbl>
            <c:dLbl>
              <c:idx val="1"/>
              <c:txPr>
                <a:bodyPr/>
                <a:lstStyle/>
                <a:p>
                  <a:pPr lvl="0">
                    <a:defRPr b="0"/>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EDA!$Q$3:$Q$6</c:f>
            </c:strRef>
          </c:cat>
          <c:val>
            <c:numRef>
              <c:f>EDA!$R$3:$R$6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6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Динаміка записів і завершень курсів</a:t>
            </a:r>
          </a:p>
        </c:rich>
      </c:tx>
      <c:overlay val="0"/>
    </c:title>
    <c:plotArea>
      <c:layout/>
      <c:barChart>
        <c:barDir val="col"/>
        <c:ser>
          <c:idx val="0"/>
          <c:order val="0"/>
          <c:tx>
            <c:v>записалися на курс</c:v>
          </c:tx>
          <c:spPr>
            <a:solidFill>
              <a:schemeClr val="accent3"/>
            </a:solidFill>
            <a:ln cmpd="sng">
              <a:solidFill>
                <a:srgbClr val="000000"/>
              </a:solidFill>
            </a:ln>
          </c:spPr>
          <c:dPt>
            <c:idx val="0"/>
          </c:dPt>
          <c:dPt>
            <c:idx val="3"/>
          </c:dPt>
          <c:dLbls>
            <c:numFmt formatCode="General" sourceLinked="1"/>
            <c:txPr>
              <a:bodyPr/>
              <a:lstStyle/>
              <a:p>
                <a:pPr lvl="0">
                  <a:defRPr b="0"/>
                </a:pPr>
              </a:p>
            </c:txPr>
            <c:showLegendKey val="0"/>
            <c:showVal val="1"/>
            <c:showCatName val="0"/>
            <c:showSerName val="0"/>
            <c:showPercent val="0"/>
            <c:showBubbleSize val="0"/>
          </c:dLbls>
          <c:cat>
            <c:strRef>
              <c:f>EDA!$Q$3:$Q$6</c:f>
            </c:strRef>
          </c:cat>
          <c:val>
            <c:numRef>
              <c:f>EDA!$R$3:$R$6</c:f>
              <c:numCache/>
            </c:numRef>
          </c:val>
        </c:ser>
        <c:axId val="633446876"/>
        <c:axId val="867496710"/>
      </c:barChart>
      <c:lineChart>
        <c:varyColors val="0"/>
        <c:ser>
          <c:idx val="1"/>
          <c:order val="1"/>
          <c:tx>
            <c:v>завершили навчання</c:v>
          </c:tx>
          <c:spPr>
            <a:ln cmpd="sng" w="19050">
              <a:solidFill>
                <a:srgbClr val="93C47D">
                  <a:alpha val="100000"/>
                </a:srgbClr>
              </a:solidFill>
              <a:prstDash val="sysDot"/>
            </a:ln>
          </c:spPr>
          <c:marker>
            <c:symbol val="circle"/>
            <c:size val="7"/>
            <c:spPr>
              <a:solidFill>
                <a:srgbClr val="93C47D">
                  <a:alpha val="100000"/>
                </a:srgbClr>
              </a:solidFill>
              <a:ln cmpd="sng">
                <a:solidFill>
                  <a:srgbClr val="93C47D">
                    <a:alpha val="100000"/>
                  </a:srgbClr>
                </a:solidFill>
              </a:ln>
            </c:spPr>
          </c:marker>
          <c:dPt>
            <c:idx val="0"/>
            <c:marker>
              <c:symbol val="none"/>
            </c:marker>
          </c:dPt>
          <c:dLbls>
            <c:numFmt formatCode="General" sourceLinked="1"/>
            <c:txPr>
              <a:bodyPr/>
              <a:lstStyle/>
              <a:p>
                <a:pPr lvl="0">
                  <a:defRPr b="1" i="0"/>
                </a:pPr>
              </a:p>
            </c:txPr>
            <c:showLegendKey val="0"/>
            <c:showVal val="1"/>
            <c:showCatName val="0"/>
            <c:showSerName val="0"/>
            <c:showPercent val="0"/>
            <c:showBubbleSize val="0"/>
          </c:dLbls>
          <c:cat>
            <c:strRef>
              <c:f>EDA!$Q$3:$Q$6</c:f>
            </c:strRef>
          </c:cat>
          <c:val>
            <c:numRef>
              <c:f>EDA!$S$3:$S$6</c:f>
              <c:numCache/>
            </c:numRef>
          </c:val>
          <c:smooth val="0"/>
        </c:ser>
        <c:axId val="633446876"/>
        <c:axId val="867496710"/>
      </c:lineChart>
      <c:catAx>
        <c:axId val="633446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867496710"/>
      </c:catAx>
      <c:valAx>
        <c:axId val="867496710"/>
        <c:scaling>
          <c:orientation val="minMax"/>
          <c:min val="5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кількість студентів</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3446876"/>
      </c:valAx>
    </c:plotArea>
    <c:legend>
      <c:legendPos val="b"/>
      <c:legendEntry>
        <c:idx val="1"/>
        <c:txPr>
          <a:bodyPr/>
          <a:lstStyle/>
          <a:p>
            <a:pPr lvl="0">
              <a:defRPr>
                <a:latin typeface="Arial"/>
              </a:defRPr>
            </a:pPr>
          </a:p>
        </c:txPr>
      </c:legendEntry>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Середній рейтинг курсів</a:t>
            </a:r>
          </a:p>
        </c:rich>
      </c:tx>
      <c:overlay val="0"/>
    </c:title>
    <c:plotArea>
      <c:layout/>
      <c:barChart>
        <c:barDir val="col"/>
        <c:ser>
          <c:idx val="0"/>
          <c:order val="0"/>
          <c:tx>
            <c:strRef>
              <c:f>EDA!$AL$16</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EDA!$AJ$17:$AJ$20</c:f>
            </c:strRef>
          </c:cat>
          <c:val>
            <c:numRef>
              <c:f>EDA!$AL$17:$AL$20</c:f>
              <c:numCache/>
            </c:numRef>
          </c:val>
        </c:ser>
        <c:axId val="749759387"/>
        <c:axId val="429056121"/>
      </c:barChart>
      <c:catAx>
        <c:axId val="749759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429056121"/>
      </c:catAx>
      <c:valAx>
        <c:axId val="429056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оцінка</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975938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Динаміка записів на курс по місяцях</a:t>
            </a:r>
          </a:p>
        </c:rich>
      </c:tx>
      <c:overlay val="0"/>
    </c:title>
    <c:plotArea>
      <c:layout/>
      <c:lineChart>
        <c:ser>
          <c:idx val="0"/>
          <c:order val="0"/>
          <c:tx>
            <c:strRef>
              <c:f>EDA!$BG$2:$BG$3</c:f>
            </c:strRef>
          </c:tx>
          <c:spPr>
            <a:ln cmpd="sng" w="38100">
              <a:solidFill>
                <a:srgbClr val="3C78D8">
                  <a:alpha val="100000"/>
                </a:srgbClr>
              </a:solidFill>
              <a:prstDash val="solid"/>
            </a:ln>
          </c:spPr>
          <c:marker>
            <c:symbol val="none"/>
          </c:marker>
          <c:cat>
            <c:strRef>
              <c:f>EDA!$BF$4:$BF$15</c:f>
            </c:strRef>
          </c:cat>
          <c:val>
            <c:numRef>
              <c:f>EDA!$BG$4:$BG$15</c:f>
              <c:numCache/>
            </c:numRef>
          </c:val>
          <c:smooth val="0"/>
        </c:ser>
        <c:ser>
          <c:idx val="1"/>
          <c:order val="1"/>
          <c:tx>
            <c:strRef>
              <c:f>EDA!$BH$2:$BH$3</c:f>
            </c:strRef>
          </c:tx>
          <c:spPr>
            <a:ln cmpd="sng" w="38100">
              <a:solidFill>
                <a:srgbClr val="E06666">
                  <a:alpha val="100000"/>
                </a:srgbClr>
              </a:solidFill>
              <a:prstDash val="solid"/>
            </a:ln>
          </c:spPr>
          <c:marker>
            <c:symbol val="none"/>
          </c:marker>
          <c:cat>
            <c:strRef>
              <c:f>EDA!$BF$4:$BF$15</c:f>
            </c:strRef>
          </c:cat>
          <c:val>
            <c:numRef>
              <c:f>EDA!$BH$4:$BH$15</c:f>
              <c:numCache/>
            </c:numRef>
          </c:val>
          <c:smooth val="0"/>
        </c:ser>
        <c:ser>
          <c:idx val="2"/>
          <c:order val="2"/>
          <c:tx>
            <c:strRef>
              <c:f>EDA!$BI$2:$BI$3</c:f>
            </c:strRef>
          </c:tx>
          <c:spPr>
            <a:ln cmpd="sng" w="38100">
              <a:solidFill>
                <a:srgbClr val="FBBC04"/>
              </a:solidFill>
              <a:prstDash val="solid"/>
            </a:ln>
          </c:spPr>
          <c:marker>
            <c:symbol val="none"/>
          </c:marker>
          <c:cat>
            <c:strRef>
              <c:f>EDA!$BF$4:$BF$15</c:f>
            </c:strRef>
          </c:cat>
          <c:val>
            <c:numRef>
              <c:f>EDA!$BI$4:$BI$15</c:f>
              <c:numCache/>
            </c:numRef>
          </c:val>
          <c:smooth val="0"/>
        </c:ser>
        <c:ser>
          <c:idx val="3"/>
          <c:order val="3"/>
          <c:tx>
            <c:strRef>
              <c:f>EDA!$BJ$2:$BJ$3</c:f>
            </c:strRef>
          </c:tx>
          <c:spPr>
            <a:ln cmpd="sng" w="38100">
              <a:solidFill>
                <a:srgbClr val="93C47D">
                  <a:alpha val="100000"/>
                </a:srgbClr>
              </a:solidFill>
              <a:prstDash val="solid"/>
            </a:ln>
          </c:spPr>
          <c:marker>
            <c:symbol val="none"/>
          </c:marker>
          <c:cat>
            <c:strRef>
              <c:f>EDA!$BF$4:$BF$15</c:f>
            </c:strRef>
          </c:cat>
          <c:val>
            <c:numRef>
              <c:f>EDA!$BJ$4:$BJ$15</c:f>
              <c:numCache/>
            </c:numRef>
          </c:val>
          <c:smooth val="0"/>
        </c:ser>
        <c:axId val="1692062268"/>
        <c:axId val="1418504293"/>
      </c:lineChart>
      <c:catAx>
        <c:axId val="1692062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sz="1400">
                <a:solidFill>
                  <a:srgbClr val="000000"/>
                </a:solidFill>
                <a:latin typeface="+mn-lt"/>
              </a:defRPr>
            </a:pPr>
          </a:p>
        </c:txPr>
        <c:crossAx val="1418504293"/>
      </c:catAx>
      <c:valAx>
        <c:axId val="141850429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кількість студентів</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206226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chart" Target="../charts/chart3.xml"/><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chart" Target="../charts/chart2.xml"/><Relationship Id="rId7" Type="http://schemas.openxmlformats.org/officeDocument/2006/relationships/image" Target="../media/Chart7.png"/><Relationship Id="rId8"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image" Target="../media/Chart14.png"/><Relationship Id="rId5" Type="http://schemas.openxmlformats.org/officeDocument/2006/relationships/image" Target="../media/Chart15.png"/><Relationship Id="rId6" Type="http://schemas.openxmlformats.org/officeDocument/2006/relationships/chart" Target="../charts/chart7.xml"/><Relationship Id="rId7" Type="http://schemas.openxmlformats.org/officeDocument/2006/relationships/image" Target="../media/Chart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xdr:colOff>
      <xdr:row>7</xdr:row>
      <xdr:rowOff>142875</xdr:rowOff>
    </xdr:from>
    <xdr:ext cx="4362450" cy="2609850"/>
    <xdr:graphicFrame>
      <xdr:nvGraphicFramePr>
        <xdr:cNvPr id="1" name="Chart 1"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28</xdr:col>
      <xdr:colOff>361950</xdr:colOff>
      <xdr:row>17</xdr:row>
      <xdr:rowOff>0</xdr:rowOff>
    </xdr:from>
    <xdr:ext cx="4991100" cy="2514600"/>
    <xdr:pic>
      <xdr:nvPicPr>
        <xdr:cNvPr id="599822472" name="Chart2" title="Діагра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28</xdr:col>
      <xdr:colOff>361950</xdr:colOff>
      <xdr:row>29</xdr:row>
      <xdr:rowOff>190500</xdr:rowOff>
    </xdr:from>
    <xdr:ext cx="4991100" cy="2514600"/>
    <xdr:pic>
      <xdr:nvPicPr>
        <xdr:cNvPr id="847512714" name="Chart3" title="Діагра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361950</xdr:colOff>
      <xdr:row>43</xdr:row>
      <xdr:rowOff>19050</xdr:rowOff>
    </xdr:from>
    <xdr:ext cx="4991100" cy="2514600"/>
    <xdr:pic>
      <xdr:nvPicPr>
        <xdr:cNvPr id="687112207" name="Chart4" title="Діагра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28</xdr:col>
      <xdr:colOff>361950</xdr:colOff>
      <xdr:row>55</xdr:row>
      <xdr:rowOff>190500</xdr:rowOff>
    </xdr:from>
    <xdr:ext cx="4991100" cy="2514600"/>
    <xdr:pic>
      <xdr:nvPicPr>
        <xdr:cNvPr id="391202271" name="Chart5" title="Діаграма">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18</xdr:col>
      <xdr:colOff>9525</xdr:colOff>
      <xdr:row>7</xdr:row>
      <xdr:rowOff>142875</xdr:rowOff>
    </xdr:from>
    <xdr:ext cx="4362450" cy="2609850"/>
    <xdr:graphicFrame>
      <xdr:nvGraphicFramePr>
        <xdr:cNvPr id="6" name="Chart 6" title="Діаграма"/>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28</xdr:col>
      <xdr:colOff>361950</xdr:colOff>
      <xdr:row>1</xdr:row>
      <xdr:rowOff>171450</xdr:rowOff>
    </xdr:from>
    <xdr:ext cx="4991100" cy="3095625"/>
    <xdr:pic>
      <xdr:nvPicPr>
        <xdr:cNvPr id="14423620" name="Chart7" title="Діаграма">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28</xdr:col>
      <xdr:colOff>257175</xdr:colOff>
      <xdr:row>77</xdr:row>
      <xdr:rowOff>9525</xdr:rowOff>
    </xdr:from>
    <xdr:ext cx="4991100" cy="3095625"/>
    <xdr:pic>
      <xdr:nvPicPr>
        <xdr:cNvPr id="1792635091" name="Chart8" title="Діаграма">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43</xdr:col>
      <xdr:colOff>0</xdr:colOff>
      <xdr:row>17</xdr:row>
      <xdr:rowOff>171450</xdr:rowOff>
    </xdr:from>
    <xdr:ext cx="5715000" cy="3533775"/>
    <xdr:pic>
      <xdr:nvPicPr>
        <xdr:cNvPr id="1493528076" name="Chart9" title="Діаграма">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56</xdr:col>
      <xdr:colOff>704850</xdr:colOff>
      <xdr:row>21</xdr:row>
      <xdr:rowOff>142875</xdr:rowOff>
    </xdr:from>
    <xdr:ext cx="6867525" cy="3533775"/>
    <xdr:graphicFrame>
      <xdr:nvGraphicFramePr>
        <xdr:cNvPr id="10" name="Chart 10" title="Діаграма"/>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724650" cy="3581400"/>
    <xdr:pic>
      <xdr:nvPicPr>
        <xdr:cNvPr id="0" name="image5.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6724650" cy="3133725"/>
    <xdr:pic>
      <xdr:nvPicPr>
        <xdr:cNvPr id="0" name="image3.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6724650" cy="2828925"/>
    <xdr:pic>
      <xdr:nvPicPr>
        <xdr:cNvPr id="0" name="image2.png" title="Зображенн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xdr:row>
      <xdr:rowOff>0</xdr:rowOff>
    </xdr:from>
    <xdr:ext cx="6724650" cy="36385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xdr:row>
      <xdr:rowOff>0</xdr:rowOff>
    </xdr:from>
    <xdr:ext cx="6724650" cy="23145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7</xdr:row>
      <xdr:rowOff>9525</xdr:rowOff>
    </xdr:from>
    <xdr:ext cx="4362450" cy="2609850"/>
    <xdr:graphicFrame>
      <xdr:nvGraphicFramePr>
        <xdr:cNvPr id="11" name="Chart 11"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1057275</xdr:colOff>
      <xdr:row>7</xdr:row>
      <xdr:rowOff>9525</xdr:rowOff>
    </xdr:from>
    <xdr:ext cx="4362450" cy="2609850"/>
    <xdr:graphicFrame>
      <xdr:nvGraphicFramePr>
        <xdr:cNvPr id="12" name="Chart 12" title="Діагра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714375</xdr:colOff>
      <xdr:row>7</xdr:row>
      <xdr:rowOff>9525</xdr:rowOff>
    </xdr:from>
    <xdr:ext cx="4191000" cy="2609850"/>
    <xdr:graphicFrame>
      <xdr:nvGraphicFramePr>
        <xdr:cNvPr id="13" name="Chart 13" title="Діагра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933450</xdr:colOff>
      <xdr:row>21</xdr:row>
      <xdr:rowOff>0</xdr:rowOff>
    </xdr:from>
    <xdr:ext cx="5781675" cy="3209925"/>
    <xdr:pic>
      <xdr:nvPicPr>
        <xdr:cNvPr id="1839653714" name="Chart14" title="Діагра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933450</xdr:colOff>
      <xdr:row>37</xdr:row>
      <xdr:rowOff>190500</xdr:rowOff>
    </xdr:from>
    <xdr:ext cx="5800725" cy="3209925"/>
    <xdr:pic>
      <xdr:nvPicPr>
        <xdr:cNvPr id="2001580191" name="Chart15" title="Діаграма">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695325</xdr:colOff>
      <xdr:row>38</xdr:row>
      <xdr:rowOff>0</xdr:rowOff>
    </xdr:from>
    <xdr:ext cx="5800725" cy="3209925"/>
    <xdr:graphicFrame>
      <xdr:nvGraphicFramePr>
        <xdr:cNvPr id="16" name="Chart 16" title="Діаграма"/>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704850</xdr:colOff>
      <xdr:row>21</xdr:row>
      <xdr:rowOff>0</xdr:rowOff>
    </xdr:from>
    <xdr:ext cx="5781675" cy="3209925"/>
    <xdr:pic>
      <xdr:nvPicPr>
        <xdr:cNvPr id="1751797286" name="Chart17" title="Діаграма">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601" sheet="EDA"/>
  </cacheSource>
  <cacheFields>
    <cacheField name="student_id" numFmtId="49">
      <sharedItems>
        <s v="cce730c3-9ef3-4908-98fd-9bbd3cf0f581"/>
        <s v="1c8eee56-baa9-41bd-8631-178c4e031945"/>
        <s v="3b698e92-f0b7-45c1-98f8-c5059e58adad"/>
        <s v="d9466dbd-2174-4f99-8c1a-8c6c01c5887c"/>
        <s v="1bea3447-5bea-41c7-ab4d-f986e6fde451"/>
        <s v="289a8ea6-642e-4b99-8fd3-3636bcfff1d5"/>
        <s v="bab505e1-4553-46f6-bc5b-a1f3a7578204"/>
        <s v="2ea71ca3-dcc9-4308-aa6a-9dd40e633410"/>
        <s v="6687893e-b67b-44a7-8b91-8a1597d6ac6e"/>
        <s v="5209afee-c45c-4646-bc03-aa6b4e728b5c"/>
        <s v="ffa30b8e-fc9b-45d5-beb4-90941141d853"/>
        <s v="373def54-c256-4f5a-8cf5-f57bff0152c2"/>
        <s v="e5343efa-051f-4846-881b-7c410937b7d1"/>
        <s v="700982ed-64b8-4640-bc21-47e219c8e6a7"/>
        <s v="eeae577b-7f01-4a35-8620-b2e4a07ed3f0"/>
        <s v="afe9d25a-0a92-482e-b447-757a7e487596"/>
        <s v="d9f704d8-a778-4f93-b391-da1abbf7c7f1"/>
        <s v="36ee6d3c-95ff-4c64-ac5d-cf0877ba4c3b"/>
        <s v="6399a1d2-b5be-4cde-9399-a0728700f97c"/>
        <s v="ad268ad8-afdd-4ee4-a4a5-d3babe93afce"/>
        <s v="41452e61-0c74-4c90-8712-a8a5613f1e69"/>
        <s v="83b951f1-534b-40c3-97d9-ca4b9005f644"/>
        <s v="fb366f4c-6e51-4e45-8552-17da04f1bf72"/>
        <s v="44ae1d15-95f9-415f-b5c1-860020e8643e"/>
        <s v="95a75e2f-cedb-4dcd-acaf-9c00752e4b48"/>
        <s v="abf5ad77-6b08-4072-99d0-6c3ffc1c99e2"/>
        <s v="8268a58c-fb4b-42bf-8b67-32b7e943d134"/>
        <s v="b93f08ee-5d61-4bce-beda-1b6d82ec4d5a"/>
        <s v="90a68172-f944-4054-9f2a-17a58a34db0d"/>
        <s v="169b1c5b-5707-435d-84b2-d266376407b6"/>
        <s v="c0bb3a74-e5dc-4bf5-896a-3496066308ca"/>
        <s v="0d76aa16-2605-4ad2-9e4b-45b57cbb6187"/>
        <s v="4c31e6d4-7d7c-4a3b-85b1-fe33d7385185"/>
        <s v="28cc9682-41da-4cf8-8cbc-2705fe4ccd1f"/>
        <s v="0f266902-f574-455f-8e85-6b8622c66d8e"/>
        <s v="91b42016-c95d-4b81-b083-4b5891d3fe14"/>
        <s v="8c08e75a-40ba-4a0f-a0b7-218152b7f01d"/>
        <s v="b5357b2c-8e19-46f2-aa07-5f63fafc2ca6"/>
        <s v="2e94b6f5-aaba-4a17-bff9-ae301bf93bcb"/>
        <s v="8e56f251-83cc-4836-9441-1a75b988eb62"/>
        <s v="9ea4df83-7f0a-420b-9366-ac1d6515398c"/>
        <s v="7a07a821-c82f-4d09-b859-6fdb24583070"/>
        <s v="bf716e65-a53f-4bec-bbd3-1fc1cfda1add"/>
        <s v="064f94bf-0ef8-4629-893f-222b0b8fefe4"/>
        <s v="8158281f-ea72-4f3c-a7ce-d951d9236205"/>
        <s v="acb342d4-1cab-44bd-99f9-a2b6c0bb25f9"/>
        <s v="11235205-3b9f-4f0d-9c01-75d8c3d199f2"/>
        <s v="6c9073b3-8df0-4247-9bed-616784d9c357"/>
        <s v="38516f38-57de-43a2-a11c-8ae063e3ece8"/>
        <s v="d9954086-cccc-4ce0-a01d-ad41051018cd"/>
        <s v="2b9f85bb-5361-4a42-ae6d-b913698b3a44"/>
        <s v="7d854317-e7c1-40f7-b4c5-da3ea3bbf785"/>
        <s v="6226ca5f-dfc5-4dbc-b040-5b275cd5a2c1"/>
        <s v="c0a08497-3d5a-4872-9ce1-6a2239a7c94b"/>
        <s v="34156cda-e537-4db1-ad4a-905ef931b13e"/>
        <s v="139c77c9-91bf-4715-bebe-8ad07714d461"/>
        <s v="b36a87ad-c410-48bc-9d27-2d89376acba9"/>
        <s v="196b9e48-576d-4b43-b779-f15b8d650fb6"/>
        <s v="59f748fb-04bf-40f7-bb23-bf3fff9d948e"/>
        <s v="c053be0e-bc66-49ca-be4b-d68be4ca4aa4"/>
        <s v="f67657d1-2078-45d6-b660-9103058cac56"/>
        <s v="637aca1d-ea0d-4e68-b903-a62dea1e7752"/>
        <s v="37278155-f463-4bf8-937c-8ab1ce979d86"/>
        <s v="ffa509a1-da95-444b-845f-0f5f62fd7800"/>
        <s v="35bba6f5-9f03-406d-a19d-e20cf5a84782"/>
        <s v="4c888f86-ff8c-47cc-864d-bc43672ac72d"/>
        <s v="864cf519-447b-4f94-9e39-c2a8c35e9ebf"/>
        <s v="fee9050f-f4d5-45fe-b010-ca0ed16172f4"/>
        <s v="5489dea3-3700-4b57-b7a4-9641c50ee50b"/>
        <s v="1a876490-6bc0-47af-b348-d420b6605c8d"/>
        <s v="1b67be6a-1da8-4911-a87f-97152f64aa0c"/>
        <s v="0a34886c-802e-4a41-86bc-6b82f5943dda"/>
        <s v="8232c528-ae1f-4118-97b0-473f5c139103"/>
        <s v="a19ba579-33cb-4771-af57-aa50e74d326c"/>
        <s v="172c1998-6417-4908-9d38-a996f340ca80"/>
        <s v="c0a0f7c0-9d72-4317-a93d-e507f79a890f"/>
        <s v="e68f2449-78f4-48d8-a0c3-47f0f30a5d9c"/>
        <s v="4385c93f-c219-45a3-ac69-5d61b24a85c0"/>
        <s v="88f5b9e6-e83d-4800-a114-f27e19310e1a"/>
        <s v="ae7f1201-293f-4355-9522-d82dc46b3233"/>
        <s v="b42bc50d-c553-4664-abf9-a5fea7cc0766"/>
        <s v="024d4ab1-0f79-4c69-9380-d67510935b1e"/>
        <s v="a39bca8b-6276-4744-8a51-3cb176d99cba"/>
        <s v="6b87c88f-b227-4afd-8e6f-dea24116933e"/>
        <s v="09584d18-42a2-48aa-a0ab-508b75f9277c"/>
        <s v="03cc8bf9-6862-403f-b55d-aee71f2ba3e9"/>
        <s v="74fc3d01-2420-4519-805c-ef0650006b54"/>
        <s v="ab21ce77-9426-4590-a7cb-6ffd5ec6dc4a"/>
        <s v="4d90f38e-ad69-4131-920c-131ff94cde5e"/>
        <s v="ef9d2194-45c3-44ff-875d-d2371d0f4614"/>
        <s v="03a5fab2-a04d-4ed4-be56-ed9f507de9cf"/>
        <s v="3480604b-abfe-4497-b807-3bcaf78477c7"/>
        <s v="0ec7c92e-b36d-4c16-a3cc-0cc1274e9b70"/>
        <s v="399852a0-bd1b-4102-8d5c-141d6cf49ca8"/>
        <s v="7360ee70-5c31-445f-b1cf-a7310c273afa"/>
        <s v="aab70121-9f76-41a2-a56a-3628f6e16997"/>
        <s v="786fcb82-40cf-4dc9-b9ba-2541502ca95a"/>
        <s v="b320bb80-ce69-47e2-8578-17246dd77797"/>
        <s v="7a22f030-443e-4df9-9cb3-fe0dc0cc741d"/>
        <s v="aaabb8a7-b6bb-4b0e-b9a1-e2a9948ecb70"/>
        <s v="bd132d80-a915-490f-9ac8-595c1589043b"/>
        <s v="ad1c7e09-feb9-49c5-bc99-4a970fead2ec"/>
        <s v="6d10bde4-d032-4a3b-86de-022fac19fdf9"/>
        <s v="18f40db9-d6b1-4e90-ae75-e67b95af670e"/>
        <s v="f7aa009b-8d6e-40b0-a019-2110cbc4740f"/>
        <s v="2ab65260-ade6-459c-9868-fa18cf5dc6dc"/>
        <s v="116c00eb-243f-42b4-ab25-68c03c82b15f"/>
        <s v="950ad366-e0ab-42b8-9dd5-ec62ae0e22f6"/>
        <s v="58dbfaa7-f3fa-448e-bfa5-3ae524947600"/>
        <s v="aa741eb5-e680-4802-b8cc-5cecda992d44"/>
        <s v="b5529380-3797-4a55-8149-13f87b108d52"/>
        <s v="de21eb83-5d37-4b75-a9ff-deae2154986f"/>
        <s v="b0fa2630-9371-4ea7-9065-208acea43229"/>
        <s v="bce3f115-d894-490e-9d29-4641340305ca"/>
        <s v="562bed61-d985-4311-b3f2-88d447ed18b9"/>
        <s v="7677b8e0-4b71-42bb-9852-d52e299193ca"/>
        <s v="80a691e1-3ef0-449f-9321-b911289dca54"/>
        <s v="1ad98fed-6008-47bb-8221-61c47e2ae692"/>
        <s v="7397cdd6-2cb5-454c-b4fa-e37fa1c2b9c5"/>
        <s v="ac582ac4-14f4-4448-b6ff-9d8b07789c67"/>
        <s v="c474a200-f0a5-41be-a31f-b1b7bc3e4051"/>
        <s v="8e45ff89-a4ac-43d6-9e6f-59162848213e"/>
        <s v="c7bf4779-e973-4304-9b3f-ab5c25817a5a"/>
        <s v="ef9c94f2-1519-47c7-b410-aa2963422883"/>
        <s v="af370332-864c-4bc6-9505-cc2ff8976ffa"/>
        <s v="673e994f-5f36-405e-9dec-636288d4148b"/>
        <s v="69c08294-c6e9-4b23-8590-1647b60d4931"/>
        <s v="26f101d4-a868-4fd0-ad71-d400f6cf4e7a"/>
        <s v="74646e38-581c-45bc-b72d-de3f32a37d10"/>
        <s v="d48d9384-ce96-4431-b46b-c79829016262"/>
        <s v="78188b69-9f2f-42d6-9674-4346a4685f64"/>
        <s v="f8fa7299-8fc2-4640-ab3a-9131cfe3c2e8"/>
        <s v="f9fdae73-6f40-4cfc-ab9f-053e11a0abb6"/>
        <s v="59e7659c-3bc9-4c59-8139-6d1a8ceceb63"/>
        <s v="bc1669d6-3c1a-44cf-a71b-d0d9667946f8"/>
        <s v="b3f59339-4676-4792-aec4-6a36c7a02d7c"/>
        <s v="06b91d3d-2efe-493b-9f00-2b5a7c1e3a6e"/>
        <s v="54e8084c-bd95-45b9-be39-f2968f501c59"/>
        <s v="4280ea37-ccd3-42ee-8b73-fb3c5b32db8e"/>
        <s v="1507430c-4971-4af4-89a2-97585fb6351e"/>
        <s v="3b3aa572-7475-4abb-8ddf-8e7a35ccc420"/>
        <s v="fd6f2758-09c6-4817-82b4-db61995cced9"/>
        <s v="6c7bd3fe-ae7d-4c14-bafc-1ac31811321d"/>
        <s v="cc070722-552e-4bb0-8052-e1b71ee9cbbb"/>
        <s v="ae3fad60-5119-4cdb-b22d-debfb547e93f"/>
        <s v="b0f6643d-c4c4-4010-bb5a-2c9951940eaa"/>
        <s v="a8af8702-96f7-4709-9e1c-0efd885eba3b"/>
        <s v="e3b57e5b-ec0d-49c6-83c9-8b69ee2a6d3f"/>
        <s v="3ad88a3c-befd-4012-8e0b-4dce5d20309b"/>
        <s v="2125ec3a-2dae-4665-aaa3-0447c1c46717"/>
        <s v="859029b9-a948-4a9a-b697-e50c01cb171a"/>
        <s v="8afdd391-cc41-45e1-ac15-8742e7deda7b"/>
        <s v="850923b3-d4a8-43c7-af51-0abccebc5c23"/>
        <s v="212193eb-d9f6-4946-83c4-52e19ce07e6d"/>
        <s v="14fc02f0-7b85-4413-a222-8d40d4f87897"/>
        <s v="14e99b77-fae7-4dd2-9403-295e2190131d"/>
        <s v="15bc455d-2424-4679-86ea-3809a3128f0d"/>
        <s v="6827778b-85fb-4a40-812e-414af5d0d19a"/>
        <s v="8757c725-951f-4564-b551-26c9d3894c0e"/>
        <s v="e705399a-c287-47be-b589-01b7b4aeeccf"/>
        <s v="74ee5979-663b-435d-96c9-9850fef666b1"/>
        <s v="fe784b3d-0be8-4882-8e2a-28e18100f337"/>
        <s v="d40370bb-a870-433e-ad97-7ed1e9c60041"/>
        <s v="c62338f0-e0f7-4788-a3a8-9885976690be"/>
        <s v="b6a8fba6-368c-4608-b9bf-01681184ea07"/>
        <s v="abc42a9b-ed6b-4634-a2e8-ff22fcc37500"/>
        <s v="835d9009-d564-42c2-b9bc-b33d48a86329"/>
        <s v="67cde34e-6298-43ff-a747-c84636dd01f7"/>
        <s v="acca9ad1-9dd6-4565-ab32-ca34bc39653c"/>
        <s v="57ef3906-2c22-42f8-a1c9-c177aa1fbae1"/>
        <s v="73d221b4-4f12-4f81-9119-3cd737105c79"/>
        <s v="9dd10b5c-444a-4860-9426-35bc708cd1b7"/>
        <s v="bdfd92a6-e9b2-4a4a-81fc-6a7e5640cd1c"/>
        <s v="7fa5a7af-febf-4aad-b146-8a76a3627ace"/>
        <s v="b16b655a-f8ad-43a3-8353-1bf5c3674b96"/>
        <s v="b2263ba3-9e88-4219-9e37-cfa5be61e519"/>
        <s v="d5825715-56fc-4775-abd5-fd0634c4a9f5"/>
        <s v="7c53fa9f-047a-4a05-8794-b23adee42457"/>
        <s v="7eee5b83-d06e-4083-9927-a755f93f4205"/>
        <s v="b28ac279-d8b0-4e6c-a5af-82633cf93b15"/>
        <s v="d7982e0b-6903-4c3f-9e15-8bb01820ef39"/>
        <s v="dbceacff-da9d-4d1d-b2c6-c7bccd38228c"/>
        <s v="87492bd0-6cf0-49fe-948f-988f10013ce7"/>
        <s v="19df697e-68f7-49c9-87a9-35f1cd8ed7a4"/>
        <s v="ccddab31-f2c9-47fe-b266-ca585fa22c0a"/>
        <s v="15febd74-3d19-4890-8785-e15d248ccbf2"/>
        <s v="2e101fa7-8689-43e1-a530-57199f67df3d"/>
        <s v="09a024d4-31ce-4830-99ce-734e5998e86e"/>
        <s v="768fea3b-c571-465e-a6d2-52ff958d14f3"/>
        <s v="b142bb57-2d95-4971-b3c9-49500b813fac"/>
        <s v="e322929e-a511-4a4d-9b19-38ec7a30e60b"/>
        <s v="dde020fd-c60f-4ce4-9e64-88724ece3510"/>
        <s v="977c2dfa-28cd-43db-a5b1-ea33272c8d9a"/>
        <s v="852c3855-7bbc-4445-81ff-054159742dff"/>
        <s v="f5c6d2b3-9d1b-45d1-a754-af15ec9c4f58"/>
        <s v="791cbc90-be2a-4cff-9f0e-233bc6dffbec"/>
        <s v="d0abb84a-7db0-48fd-a6f9-72fb98153b1e"/>
        <s v="3cfc4ead-213e-45ea-881f-77e97655bc77"/>
        <s v="2335ab97-a974-4b8b-90a9-ffddadc01566"/>
        <s v="576e97f5-a76a-47e5-abc3-3f39d9ea8334"/>
        <s v="6fff00ba-282e-4f05-9897-0a0e0c7da26d"/>
        <s v="4d1f9c8b-58c0-4823-ad89-2ff45fc90fa2"/>
        <s v="8e1a72da-dd71-4073-9164-c04424e14b52"/>
        <s v="a9f05788-ef07-422a-ab5b-2c3fc1cfe7c7"/>
        <s v="97159bdb-ee13-41ed-886f-6eb4e406f209"/>
        <s v="b9c8e087-d36a-43e1-b4d5-f1b15764d0b6"/>
        <s v="aef4aba0-e3da-4b62-a2e7-7b33798dd9c8"/>
        <s v="eaa17ede-1f9a-49c9-8374-981fce94614b"/>
        <s v="e197fcf8-8cbc-4ba3-9a37-39537070ce00"/>
        <s v="b3893bc7-ba14-4beb-881b-7b308377d3b8"/>
        <s v="c9717227-9d5e-49db-997f-93538bc24466"/>
        <s v="f4c179b0-636b-4f02-87a6-7e26c31f4739"/>
        <s v="a6c301ce-0434-4272-b0e9-778d4e22aab6"/>
        <s v="6b2c5bd1-8aef-4a00-a223-09fdc045f6a0"/>
        <s v="9f090365-6ca0-4d20-99bf-7cf4c872fe26"/>
        <s v="9857dc2b-b190-4919-b457-87d67a454889"/>
        <s v="19d1f99b-5da5-4314-9206-9033e2ff5ee7"/>
        <s v="2cb92788-a71c-416d-8775-01bbc8fb72aa"/>
        <s v="78524cf2-b67c-4a72-bb61-3fd01eff5263"/>
        <s v="af909bf7-a9d9-44e9-abfc-6663d232fe1c"/>
        <s v="d3557949-daa7-4b95-80ef-55182a0c4719"/>
        <s v="0cce0637-c7ff-40a1-8239-4ef28c184ba0"/>
        <s v="7739e69b-f8a2-4487-b333-c32e958579ea"/>
        <s v="08e2745c-f106-4c85-b87c-252130c4e2e6"/>
        <s v="8f043439-9404-4f75-ad55-3e87cd8fd720"/>
        <s v="243f498a-069a-4854-a8de-5e01f74f509b"/>
        <s v="d9bf6a4d-109a-4842-b898-6c2b08144505"/>
        <s v="24ebf324-565d-40ae-be78-53370b443616"/>
        <s v="42810033-0cd6-4186-b015-a0b1558a207e"/>
        <s v="2469e16d-49cf-4ce5-9bbd-13c8a7413f1a"/>
        <s v="2f2232b3-3e65-4d36-b292-6da9e7ccccb8"/>
        <s v="3639a220-84a4-4694-b7dc-e29a9a607f54"/>
        <s v="5807b2ec-7a9b-4ff9-8d74-719def6be95b"/>
        <s v="a7ac7ee7-dd07-4c5b-a356-ec84f0a55c27"/>
        <s v="6a928f3a-1567-49ff-90b2-cab94078e21c"/>
        <s v="a7300fed-38b1-4612-8b90-e338aa1d9c69"/>
        <s v="9c20f86d-b77c-46c7-b602-a71121711cd4"/>
        <s v="7be25bf5-12ec-42c7-95c8-591617c0f5cf"/>
        <s v="66e1c96b-e13d-4f7c-8220-809e5c6abf0c"/>
        <s v="ee3842c8-2e7b-412b-b866-d2e18081ca19"/>
        <s v="22581cec-7720-44e6-a4c3-830c66d14cf6"/>
        <s v="c3044df3-3a51-4397-b584-67b765d47a6c"/>
        <s v="c9daf3af-4b52-4209-a817-6f9bf71a33fb"/>
        <s v="eb1f9589-f6dd-460b-9e1e-a1c8f514c1d7"/>
        <s v="585027a6-d2bf-4faf-8197-7c9ab662db22"/>
        <s v="2b2e6826-8d17-4524-a6f6-10f1fc74fda6"/>
        <s v="ed3e3a12-65f6-4797-824d-ad6dfc85c64f"/>
        <s v="a0369a76-4f28-47e9-bf7c-bbe257f2e9f3"/>
        <s v="ccc464a3-0954-455f-a50f-f84b84517d2f"/>
        <s v="571e3b15-82d3-4772-8354-8a56c7c874c1"/>
        <s v="16a5f201-2194-402f-896f-58d12bf2bae3"/>
        <s v="08ffe28c-5926-4d4d-8c75-c775c02ff5f2"/>
        <s v="028b4601-c928-4b58-8b24-de88a308406d"/>
        <s v="e8fd6503-e613-4e40-a727-f52d6d9eaad6"/>
        <s v="b3615127-8d63-4996-8de6-f52759ecdf45"/>
        <s v="00a594c2-0d4e-4d06-8c16-4ccabbfcc661"/>
        <s v="53e24dc8-efc1-4cf5-8f98-0cfcaa53bc63"/>
        <s v="4098fec9-0120-402a-ba85-ed130eefd908"/>
        <s v="8d202c19-1b18-4713-bf06-43090e5242ce"/>
        <s v="7848d759-dcc4-47e6-b289-6e5a20828e07"/>
        <s v="ebc06bbd-33b3-43e0-bbe7-ab6ece8f2908"/>
        <s v="cbd29564-b362-4aa9-a873-16476b2920e4"/>
        <s v="801d9e56-764a-4d3f-8824-596607d8a97f"/>
        <s v="a4dd2d0b-3ec0-4dbf-9a61-34c59efd2937"/>
        <s v="a6460efc-db5a-40a8-a9d1-0c63b2a77fed"/>
        <s v="303d0668-5632-464c-a323-9d5c44bbdf16"/>
        <s v="339bfba4-d220-4c8e-a2d4-174a81cf8010"/>
        <s v="afe2e98f-f00b-42bc-80dc-21ee4a8384cd"/>
        <s v="8cd12eef-fe7f-4f98-821a-13ea946f3114"/>
        <s v="5df905ee-868e-4ac2-8704-7deb73aa4251"/>
        <s v="2ce16255-bc7c-4ff9-8d21-4d4bb0ed8a13"/>
        <s v="8ff87c56-908f-4f7a-9b49-992988fd88f0"/>
        <s v="1dcb8cef-9003-4393-af05-e6a4fb56fbf3"/>
        <s v="44008147-525c-4e5c-af18-b96eea076f95"/>
        <s v="79454911-9809-4bb4-ad44-648bc235aac2"/>
        <s v="c76d4c2d-060a-470d-9123-9e5f692c3310"/>
        <s v="c62b2086-7d9f-43ba-9d7b-cf83e442107d"/>
        <s v="e58ca4d8-d149-43c2-af69-e391de6becbf"/>
        <s v="b4f85d5c-9a6b-481c-9fd8-5e0449ff1b43"/>
        <s v="647a0ae6-acc0-42af-a826-a1a6d6950dd8"/>
        <s v="8798f37a-7401-4792-9680-9847d5124e04"/>
        <s v="5db231b4-1594-4794-9043-a96d2baf1975"/>
        <s v="bd5c54ba-2753-496a-bdd0-678aded1ed9a"/>
        <s v="c726049b-54c5-4527-b1ce-9a72a417c9a6"/>
        <s v="a4cf75f7-73d1-473a-9c07-9f25987c2305"/>
        <s v="4ab7f791-358e-4763-aabf-6b9f437dbce3"/>
        <s v="121e980d-8983-4c29-965a-01871a64c95a"/>
        <s v="e0ef4398-c6ac-4743-9718-81b14b5faeac"/>
        <s v="e4239ba5-6079-4bff-b2ba-64cccf2ae242"/>
        <s v="6cca8d0f-bfda-4ee0-8490-8ca7c26074bb"/>
        <s v="b29ff5ef-b65b-4d33-970f-3e34e4344c13"/>
        <s v="0e1d0ad4-2fe4-45cc-beb5-31cce23e4a50"/>
        <s v="c8fa7830-499d-4b86-b447-056dfc6ec40a"/>
        <s v="39341d1a-cb13-4e9a-acb1-e85ac7bffcbb"/>
        <s v="6255bd3a-e962-4297-9779-77cf7d642a84"/>
        <s v="0c962c3c-4e7c-4463-b908-b06c0a5d8c19"/>
        <s v="0babd726-0932-43d4-b738-0d2837a5b39e"/>
        <s v="5a5f1e8b-32aa-4158-b718-205b8a92847e"/>
        <s v="41d30d40-9224-4082-ada8-d0254668b93b"/>
        <s v="9fd1f598-1c96-4164-8abc-9486ca71825a"/>
        <s v="bb5c1183-e0c1-4dc9-bcc1-d0cb1e3d55da"/>
        <s v="ebf0bd51-84b1-449e-9df5-8cad07eb7de2"/>
        <s v="8b2dfdbf-12c3-4889-9fc9-cdc99e219bb0"/>
        <s v="8f0698e7-e31e-4208-9ec9-d17a67e7150a"/>
        <s v="7775e69c-be0a-4f3c-af4d-7966be7df0cd"/>
        <s v="463a5240-b3a5-40cb-82d7-65f19c2a8dfc"/>
        <s v="e294987c-356e-47ee-9b6f-597987129a1a"/>
        <s v="0c5a9029-c335-433b-ab17-30fef11ea92e"/>
        <s v="fae8dab6-1057-499e-b86b-7728bc42de85"/>
        <s v="b3d0f3d1-9dc6-418a-a0b2-272a39452a51"/>
        <s v="6732a10e-727d-44cd-9f9f-49dab1311705"/>
        <s v="5ff5fcc7-1bb9-403e-9cd0-fc8f91b7bcd5"/>
        <s v="38670250-5d2f-4f39-95d5-25d1e6851677"/>
        <s v="61004785-0f1b-4cb7-9bfb-09e486109b17"/>
        <s v="8713ac25-92b7-453a-a6f0-2c466402123c"/>
        <s v="fc6ad4bb-ca61-4c6d-aa19-28552c7229b7"/>
        <s v="caf5e924-f778-437d-9c90-d313c628284a"/>
        <s v="854c0a65-301b-4a93-ac69-7d2a9428dde8"/>
        <s v="7d9a949c-c427-4884-8008-0a6263820628"/>
        <s v="3ed3bac6-711d-4fe3-b6ae-679c6816c5d4"/>
        <s v="0d58f90a-6eb8-4594-a47b-7b4da46dfd05"/>
        <s v="a6306abc-977b-4f4f-9b04-278865a118b3"/>
        <s v="c4ab0769-37c6-4a79-ae53-c210890c40b7"/>
        <s v="f956d4e8-196a-4106-9f62-ee32f83d71b2"/>
        <s v="4e81d61c-e1d8-4f79-95db-2389ee5e937b"/>
        <s v="4f1728e0-a481-4fc5-95d8-3d89694241b7"/>
        <s v="aca48ecb-9392-48d4-beac-4ba808311b67"/>
        <s v="0f493112-bc03-4879-abb7-6a3232975fbc"/>
        <s v="d4a509cd-7600-4884-bea7-cd63852266ba"/>
        <s v="92e06882-dee5-44ce-9a84-fb33645fbea1"/>
        <s v="081f7d48-bf27-4b0e-8900-2e4fcbb4b8dc"/>
        <s v="325746ac-8496-4570-b411-7eafad7265db"/>
        <s v="a74170ca-47b6-4528-a524-66238d02db27"/>
        <s v="4db9b3a7-7f4d-4993-b7cb-7d2b2efcdf4d"/>
        <s v="c8db89df-a6f0-4f52-b3e2-e524c9576f90"/>
        <s v="a3a3084d-93f4-427b-8d86-cc8e36321cb3"/>
        <s v="3569db32-cb0a-40c5-ad2b-c163011b78b3"/>
        <s v="4c5b5072-7bdc-406d-ae19-b84936df59df"/>
        <s v="7bcfa77e-c95c-410e-bd84-b471879f234c"/>
        <s v="ba34ab5f-24ae-404b-be9d-03e30bcf2189"/>
        <s v="c32e40f9-3523-4599-8d9a-6fd6a9f23214"/>
        <s v="62daa4b1-c95d-471f-b1a7-8c85e15fb864"/>
        <s v="5005718f-e370-4a78-9e3d-d927ed207012"/>
        <s v="8432b4f6-f16c-4bc6-92ac-28037e386c41"/>
        <s v="9676eefa-cbbb-43c8-a8c3-3290542c2950"/>
        <s v="4ab4fe44-4a7b-4a70-a786-760ab936a47e"/>
        <s v="f42486cf-242b-4ad5-b6fd-f824f9c1f12f"/>
        <s v="0203d17e-40d9-46b5-b5af-e2bdb377281f"/>
        <s v="46314a85-af27-4a81-b817-998d299f6520"/>
        <s v="5f23082a-93b4-42a5-b729-51fed2ea0e90"/>
        <s v="e97a0b27-cd8a-421d-8143-588572039c96"/>
        <s v="a3094c01-cb9e-43e3-ba45-0fedfcd58611"/>
        <s v="abd73cf3-93fe-409f-9eb0-87d893e08b7d"/>
        <s v="853d9d1e-60b9-49ab-97b1-8eaf27491f0a"/>
        <s v="61eb6eb5-e9a9-475b-8165-28c04e8c434c"/>
        <s v="41bcf9d9-441a-41ec-aff9-d8638f7edf7d"/>
        <s v="aed7e1c8-aa22-414f-bc78-b258c92d2ab7"/>
        <s v="e05428f1-2640-4022-b170-9f2548e79f40"/>
        <s v="0f4b3930-1768-4fd9-9950-c9b19762c946"/>
        <s v="5ac1ea8e-5265-4d5e-b02d-c94e5f5b8b90"/>
        <s v="7fa6dbcc-b77c-493f-829d-f71c4b055b9e"/>
        <s v="40b411ce-7486-4c5a-a863-a5fb33bb5c50"/>
        <s v="56a66bc9-077d-475f-aedd-735f074ca5d2"/>
        <s v="f28c108d-0f99-4c84-a260-ecfacc10fd0e"/>
        <s v="1c587671-fa0c-4ab2-8c40-9da075f3c528"/>
        <s v="66492b59-ffa2-4c7f-b10c-22fff72660a9"/>
        <s v="4ecc3bcc-9a2c-4553-b455-f0e12a337b45"/>
        <s v="e6de6559-8d72-49de-b46c-2aa5af20d69b"/>
        <s v="e92c2fcc-985b-4493-9379-db3813d32754"/>
        <s v="e2d7e8bb-fda5-472d-9b96-760a78c60e26"/>
        <s v="e7a34891-f6e5-49ef-b243-a8e5ae4d784d"/>
        <s v="670e490d-84c7-4c4f-91f5-9f5db011cc5f"/>
        <s v="b2f0b036-c0d1-4da2-9a31-024ee0519157"/>
        <s v="e5fa1e72-81d2-443e-adb4-791bfaf4b670"/>
        <s v="091d5dc7-e584-42a4-bfbb-6e84b04e67ee"/>
        <s v="5c768a81-58b1-4456-8494-8a27d446c176"/>
        <s v="2f0ac20f-1ac9-4547-9346-a9a2dd19af20"/>
        <s v="568e6fb4-0221-4c1f-813d-361301ef1d5f"/>
        <s v="83312093-ee83-407a-934e-079ce957946d"/>
        <s v="378d55f6-bedc-4e8f-a463-3abba322a153"/>
        <s v="726b52d2-7e77-4795-a1d8-825986b42e2e"/>
        <s v="9c581f71-5f2f-4375-875b-36a0b6f6d990"/>
        <s v="706ddb9a-cb8d-4a1e-81e8-14e40602e470"/>
        <s v="b7d72162-b026-4164-8088-daceb7a26fff"/>
        <s v="99fada69-fa65-40d0-9923-69e149aa91ef"/>
        <s v="77d1b027-bb61-4e8e-aa8f-b025e2b7ec7d"/>
        <s v="02300212-e7a7-45ae-bd09-91eb04d36829"/>
        <s v="74c06ffe-af58-4ace-8d78-5907815af7e6"/>
        <s v="2d0942a2-88dd-4338-b2a9-68d9e58b63a9"/>
        <s v="fc274733-408e-43bf-aa54-d214112b1548"/>
        <s v="f497575e-b7b2-4723-938a-30386092c7be"/>
        <s v="a1b29317-2fc4-4e01-9c68-3d2227b01097"/>
        <s v="419e3d4d-d090-4273-b74c-92d9919e77c9"/>
        <s v="450d14a0-2d11-4eea-acce-3a4386dce4ac"/>
        <s v="9bf1fd0b-5de0-4dfc-96a9-e120cb64fc9d"/>
        <s v="a8682608-831f-4120-87f6-42bea2a61c8c"/>
        <s v="b11461e1-48cb-4414-81e2-c9465253d8ce"/>
        <s v="d84d9c7e-666d-4ef9-a5ee-baa2b33f4894"/>
        <s v="1bec1768-4134-4daf-87d6-2cda9fd68d1f"/>
        <s v="fecd1ba1-f8f6-48dd-9d8e-5850e9545353"/>
        <s v="80d5a4ba-8666-403a-8a06-3dd5c107521f"/>
        <s v="8890d869-4350-4385-ac27-74164c3b5608"/>
        <s v="224c4d42-ee21-47c6-9bf5-7caff7600c05"/>
        <s v="cd866037-dc54-4c67-a548-b515b176be98"/>
        <s v="2c3f2a11-9505-4bf6-9494-bdea5b9861b4"/>
        <s v="1eee405e-bd40-47b0-80b7-3b0679fffc76"/>
        <s v="38883088-82e6-49c6-a4bb-3e8af6e30100"/>
        <s v="1bb55717-cc4e-4bba-bd0d-57f799de79df"/>
        <s v="5cabac37-62b4-47ff-a6e3-05fc87f546e1"/>
        <s v="acc814f5-beb6-4b35-a4f1-52f7c5a8466c"/>
        <s v="b0a2f841-6af2-45d2-9664-ddb22328386f"/>
        <s v="6a05e5d1-b9f1-4a06-8b2e-00d9be0a9c75"/>
        <s v="9e84dec4-0bd3-4bda-9bd3-24dcfeec7a62"/>
        <s v="9e850bbc-305f-4d94-bcea-ec4cbae9fbec"/>
        <s v="bf457cd5-49da-417a-9fe9-dbe20d59ae4b"/>
        <s v="d169f8c0-e79a-4228-94c0-5fd1bda788b9"/>
        <s v="8a452a10-0420-44d0-97a8-77e27484ba26"/>
        <s v="be552b2f-f0d3-4fd9-a049-ab8a12e5b4a6"/>
        <s v="f597eb69-868c-4b28-a8a5-370dd93addda"/>
        <s v="6ed22d1c-e852-4e23-977c-6b9832f0d83a"/>
        <s v="fb87d8e0-933e-4217-8d46-bfc542d54a1c"/>
        <s v="6631ac1d-cc1d-4e93-933a-c456b9dbc245"/>
        <s v="bc5479e3-8f7c-4a35-a546-4a0c03014c43"/>
        <s v="31ce5ae7-95d8-41f2-b0f6-b53a48805631"/>
        <s v="546fc06f-0ad0-4c77-b584-b6207ce85032"/>
        <s v="020f1ec9-c5e4-49b6-b98e-2916ff3603f7"/>
        <s v="69788d27-ec3b-43bf-b0fa-6589ae44d4bf"/>
        <s v="10d41a34-2ce2-48dc-931c-617d97a922a2"/>
        <s v="e0cf7efa-0d64-4319-be22-85fff8543ac7"/>
        <s v="d495410f-a416-4925-a4b5-091e0e32bb53"/>
        <s v="e58612f1-8cdf-4ad2-a4b1-8e3d54eff969"/>
        <s v="2a634640-645b-40a4-bd68-061854dd8496"/>
        <s v="ef10f239-9ee2-43a2-836e-3cc6b4b67f01"/>
        <s v="5297c01f-561d-4b1e-9e79-33a3f007b0de"/>
        <s v="c5023e06-f43d-42e0-a260-07856b28a1a6"/>
        <s v="c4a6005b-1cb8-428d-8ab4-f878e801f811"/>
        <s v="9b091047-c9d3-4366-9baa-561bcaffeb66"/>
        <s v="99e536c3-b591-4109-a5b9-0c5e41d1ecec"/>
        <s v="dfd92a97-35cd-41a2-9543-8c31ff4be412"/>
        <s v="b54ffc00-f63a-4426-9c0d-4f3cc4bf7ef1"/>
        <s v="b3337457-8384-465d-930a-388134bff798"/>
        <s v="97d7c604-801c-438e-8c87-3d21fbe88dcb"/>
        <s v="4a154c2c-af0c-48d5-b33a-abfc9f36b303"/>
        <s v="7dd01549-ccbd-44a0-a05e-d26d6c6f2700"/>
        <s v="82fb70a4-1d50-4d8c-87fb-941f33689f7b"/>
        <s v="5f6479d4-8ad1-4d0a-9b42-6f9dbb3cb9f4"/>
        <s v="9778d6eb-6645-4846-b98d-41a463a3d51b"/>
        <s v="0dbed695-5bcf-4ce1-96f0-e0606aca8118"/>
        <s v="30693957-871c-4e3b-93a7-40e0f5ccb675"/>
        <s v="22dc574b-4ac6-46b9-8169-30ebb76916eb"/>
        <s v="f786c02b-64f9-4283-897b-f25725768565"/>
        <s v="7f0bc91c-b624-45b2-92c3-78cabad149e0"/>
        <s v="3e597168-3aab-4c17-9ab5-a6cf9c8c90da"/>
        <s v="59092e09-0dbc-4fc5-b278-30c1bade494e"/>
        <s v="fcbf7c26-4b2b-4b3d-8fa8-3b0443519f6a"/>
        <s v="03d820d3-a3aa-4c06-b050-c7df142fa639"/>
        <s v="0c64db4b-516c-4ae3-8535-245897b0d1e2"/>
        <s v="f3927eb7-ecbb-407e-8cdd-f184dc7d7cea"/>
        <s v="4875b979-8bae-4f55-b608-f9c63d3a64c5"/>
        <s v="843e08e3-37b3-4967-a8ca-9f92e799b0d0"/>
        <s v="065a1e3f-aa81-415f-b803-a5e4194cfb47"/>
        <s v="8aa9e8cc-1a54-42a5-a412-fc6bcef9ad9a"/>
        <s v="5e4bcc97-b9a0-4da1-bd60-3fa2af7d2aec"/>
        <s v="01f5b716-4b50-4821-a6b6-31e03ae688c0"/>
        <s v="bcc80f67-536f-436e-bf9f-c94baaee8a16"/>
        <s v="bf2ab528-1ef7-4f3b-982c-3bad07ee96f5"/>
        <s v="fc65efe0-c883-4106-8dfe-0f4e1ab1cf39"/>
        <s v="3b3f5f53-3226-41fd-9795-20aa8c5af220"/>
        <s v="9a3def96-953b-4933-ad1f-8acd4af589fd"/>
        <s v="12f84c3f-7fa8-4d64-a7e0-1b2e2ae8cb9f"/>
        <s v="6a1f7b46-9c19-40e2-82e9-9432ace69e32"/>
        <s v="6781c2d0-38e2-40ac-bddd-f64196897c13"/>
        <s v="39daed80-4505-4457-914c-c00cd07ae46d"/>
        <s v="bd9ea01c-36ac-4d31-82a8-5b78d91f1e1e"/>
        <s v="7f381abb-3a46-4356-8de4-d05bbdd85c97"/>
        <s v="982cc84b-e285-4ddd-bf8c-a0f3e5351cb2"/>
        <s v="4f699d5e-aa41-4416-bfc7-d512c78dc24d"/>
        <s v="c4e70439-1883-4db9-811d-9797b8431f29"/>
        <s v="a6bf5afb-be23-44b1-af76-d58d4f0f93d0"/>
        <s v="44a3ed06-9968-48b2-84db-2b3b80aaa24b"/>
        <s v="75ba2655-0d1c-4f44-9465-3bda2d61e1a9"/>
        <s v="d77cfd90-9b77-477b-8691-4555bb07943f"/>
        <s v="791cf9ec-1d92-4616-a52c-76d50307c03c"/>
        <s v="03438da8-aaec-44a2-bb01-84c481d4e46d"/>
        <s v="61aea2e2-2ebd-42dc-a1db-e010d0105d12"/>
        <s v="efdeea70-e9e1-462c-9d63-7363f92e9675"/>
        <s v="d7adff3a-6559-431b-b87c-b59c02663f6d"/>
        <s v="03bfd4bd-07bc-466a-b996-cda3dbc960f6"/>
        <s v="fa843a74-9995-42b0-9609-0f12c837b933"/>
        <s v="2a1779f8-decc-4e6a-9ecb-3dc1d3a86992"/>
        <s v="29730126-d478-4410-9604-21efa590f1fe"/>
        <s v="17acb389-0e72-45c8-ac86-d60d97e7f99a"/>
        <s v="a59f97c3-afb5-4ce2-875b-c9ff848316a1"/>
        <s v="12f671b0-2f22-40b6-89fc-7de9d7e7d52f"/>
        <s v="72f7df09-0981-4f5c-a50b-b0c3a9cae383"/>
        <s v="0cc458db-4700-4f81-ab9f-f7cfdc99c42c"/>
        <s v="97ec3395-c904-478b-97aa-81239166463e"/>
        <s v="0db11439-213a-4a5f-b985-0730c5df290b"/>
        <s v="8153dcbd-292b-4fb5-b595-4ebec093f970"/>
        <s v="c52727bf-894f-4fce-9718-6d17eb5683b3"/>
        <s v="ab05d0b9-6297-4ba2-87a9-37766912a927"/>
        <s v="1724d5d4-1a24-4dee-8e21-81ee475d264a"/>
        <s v="f7e042ea-d325-46a7-a529-d2db26f733b4"/>
        <s v="ccce6efa-8323-43cb-aace-7dac8b9def4b"/>
        <s v="c67baf0d-dca4-4f17-bee4-3d0f28fcb96e"/>
        <s v="4885ec9b-a602-4bbc-90fe-c0e7efb339b6"/>
        <s v="a7373067-a7f5-42fd-a979-766032779d06"/>
        <s v="5e22665e-a072-4777-be87-559efcc3dfce"/>
        <s v="c0143890-83be-49fb-90cc-437199b6372d"/>
        <s v="d3e962b4-faf1-4a2a-befe-e4805a1f3b84"/>
        <s v="64b3150a-0692-4601-9e5e-41e5f1ecb028"/>
        <s v="ed8e292f-3626-47db-8e69-c7d173de75de"/>
        <s v="74ea8681-238b-45f0-abf7-f77bb50fd1ab"/>
        <s v="3394c196-b17f-457f-9d85-84c98cb90bc7"/>
        <s v="4b74a6f5-4d5a-41bd-90f2-f7e4956ed15a"/>
        <s v="bd54770c-ab6a-4221-9ee7-4f2485a88b85"/>
        <s v="7febb278-56d3-4243-af1d-fd3ccdd031c9"/>
        <s v="d26fd8ff-5d68-40c2-82a1-c2638ff03729"/>
        <s v="e7908a1b-8fff-4be0-92d2-13c41ac1b2e2"/>
        <s v="49a86d39-50d9-45ed-abb1-0b5d36bfbaad"/>
        <s v="9378278a-e990-4c7c-95cd-ec977f1f999b"/>
        <s v="714f63f9-f41b-41bf-8863-e9a6f426f1fb"/>
        <s v="7847dded-758c-4b37-815a-e875469e5ab2"/>
        <s v="af030326-2a76-48da-bf5f-847917b56f83"/>
        <s v="234bbe59-7ec8-452d-9e2d-2fb4fdfd610a"/>
        <s v="47ab0ca0-9730-401b-816d-dc4d60258834"/>
        <s v="1915a2ea-ec3a-423a-b530-6d20c074f5b1"/>
        <s v="6d4433c8-2be6-4796-bdad-8bb0ba390f96"/>
        <s v="a00bad57-c23c-4033-957a-4dc8702aba94"/>
        <s v="ba877e46-0e39-47b7-baa3-ac5214c3c5d4"/>
        <s v="52122496-5d3a-47f5-8cda-ca47cea5a84e"/>
        <s v="fa4d1b96-0e03-4872-9352-a4aedd5b343c"/>
        <s v="75f12940-9bad-4844-b77b-d151f0465c31"/>
        <s v="9146ce74-fae9-48f5-9eb9-1fea3d544b98"/>
        <s v="96c770e6-70bd-4989-8504-0bb55463daaf"/>
        <s v="090d126a-af7e-41c1-bde6-0d956338d2c6"/>
        <s v="7ab3a70b-b30c-47c9-a3c9-a21ebadb8d25"/>
        <s v="e61558ca-125a-4f17-92f1-6229519209d5"/>
        <s v="708c0d5c-e2cd-4635-8b19-5f170d186878"/>
        <s v="d388f078-6010-4c24-b802-8884016303b0"/>
        <s v="d25056a3-3ece-4c49-ba73-1aa8c9bd9ab6"/>
        <s v="6b57b66c-3908-46e2-9fd7-ce640a4f3e36"/>
        <s v="364f35bf-472c-41ca-9ae9-fd0d09727c3a"/>
        <s v="db610830-7ea4-4d9f-a95e-51df46515632"/>
        <s v="246a4a25-3c11-47a6-b5ab-eba84419b970"/>
        <s v="872f77fe-a5de-4876-b9f0-132ef739535e"/>
        <s v="1c16afe2-819a-4ae6-b579-cd693a65df4e"/>
        <s v="435659a8-db5c-4cd0-b8b6-39dbaa3e37fd"/>
        <s v="a381192c-a036-4533-9cf8-5ac8024ac2bb"/>
        <s v="7a66886d-3e71-4b09-b6f3-6cad34274cd1"/>
        <s v="0b972d0f-2059-4d20-a66e-d3eeb37f54c5"/>
        <s v="7b4e1f74-b785-4cdc-b5ef-7974ed30fbac"/>
        <s v="e2aa0969-3665-49a1-9923-97d34791c5d3"/>
        <s v="3379ac1e-9066-4b48-abd5-9947b34e58ff"/>
        <s v="1c62bb4f-1db4-4978-a9ca-8e12332a8f85"/>
        <s v="99083b8b-5de6-4850-90e8-d2b5cf941367"/>
        <s v="fdde6f17-7f93-4fdc-8f3b-530bc80bc530"/>
        <s v="e35797af-396e-4845-a113-feabec7dc7cc"/>
        <s v="cf5284b6-85a9-4296-8ff8-8a77ad8518ae"/>
        <s v="d0059684-ecfe-4806-8541-3a07326955a1"/>
        <s v="9aa344bd-f21c-4441-a171-bc8d2b50fd25"/>
        <s v="a4eb4c75-0e22-42e0-a9b9-c369f96de1b8"/>
        <s v="b3a52fef-8abb-4bc1-b229-7a80c685f2e2"/>
        <s v="efbbf8d7-ba1e-4619-8278-2f8a37d0c090"/>
        <s v="833b4b8d-5ec0-4ea8-95c9-bc799675c080"/>
        <s v="11aa387b-f313-4a72-aafe-38ae9ac6a4d6"/>
        <s v="5a249ee1-6c87-4a52-a35b-ca77c2397a2d"/>
        <s v="8e03e94c-9b10-4403-b599-51379205577a"/>
        <s v="b891b8ae-d6e7-4207-8124-f70cc897a233"/>
        <s v="4cbd5d41-b4bf-45da-bccb-0f6843e83c0e"/>
        <s v="46b6970d-b5b8-4dd6-809c-5cc8764f6c37"/>
        <s v="2c0c46e6-0d11-40e8-9e5c-191be5a0d780"/>
        <s v="9cdfd845-7854-424c-a0f9-8360002b4193"/>
        <s v="8eea27a5-60bd-4b70-a1bc-fa67162556be"/>
        <s v="95f0daed-3a15-48e7-abe3-edac6267f089"/>
        <s v="c2e722af-1949-46f9-a70b-1e0607b0cd36"/>
        <s v="9683ac6c-575c-4c8d-af75-d8237112abf6"/>
        <s v="0e4bbca8-986c-4bc7-ab91-5f36014340b1"/>
        <s v="4a458a85-7408-4453-a260-b51dd245b3c1"/>
        <s v="8fdb2e1c-b70d-4075-a341-65c6ff4d37fa"/>
        <s v="f33fa56e-d616-4f90-a254-4d7383afb6a5"/>
        <s v="9a7c80b5-5519-4921-9f71-70e493e88776"/>
        <s v="a0a03e20-8a2b-483c-9c24-ef8fa2e7bdb4"/>
        <s v="4d6704a8-3dfa-41d8-8cc2-72f68a4dd1eb"/>
        <s v="196b3c22-bd0c-41b7-9cfb-3738c14bd472"/>
        <s v="7e4a3ddf-5619-4246-99b7-76c15aeb1fbc"/>
        <s v="7954d06b-32fa-4d91-a0fd-b1b4da58ceed"/>
        <s v="d3911798-6312-4ff3-a666-4432652c941b"/>
        <s v="a91d4c81-1b4d-4f21-ba39-0eb891e57204"/>
        <s v="d474a02f-64e9-4e92-991a-46ace95a4187"/>
        <s v="8cd0fc82-e09b-4169-872b-dcfba901bd83"/>
        <s v="39d97cd2-1358-45b8-9099-1391d8de99a0"/>
        <s v="f8a292be-d8a8-4c01-93fc-bfa1b48f3bf7"/>
        <s v="a9227f50-343d-4075-adff-9703571151b0"/>
        <s v="86a098f9-4c74-41eb-928a-450bf7750af1"/>
        <s v="a9740c67-81cf-4d65-a94a-b800f850e21a"/>
        <s v="4c7d8e1e-7470-4442-9b60-b9ef525d84f2"/>
        <s v="a59abb6d-56b8-4f68-9cf0-6542a62d7ff6"/>
        <s v="9a0c3761-f5f8-439a-9ffb-1b5502aeee23"/>
        <s v="437a83a1-662f-4cb0-892b-984c6530ab46"/>
      </sharedItems>
    </cacheField>
    <cacheField name="course_id" numFmtId="49">
      <sharedItems>
        <s v="c3646abb-6357-4ff9-888d-44307ebc13de"/>
        <s v="95a9248a-784c-4e23-ab91-2d50c8166c68"/>
        <s v="d745141a-a0be-4ac0-810e-692097da03ce"/>
        <s v="22bb11df-c89a-49f5-be9b-0caf2704f618"/>
        <s v="1a77e025-2a7b-4805-a5c5-0188d77a7525"/>
        <s v="333a070a-b557-4b2e-af6a-91a96ef7371a"/>
        <s v="f695765c-a26f-400a-ba3a-a285ffee86ae"/>
        <s v="1372c380-c140-441c-b635-8066e5d151bc"/>
        <s v="52d57a77-4a92-44b5-ad65-767a55d591cb"/>
        <s v="88262933-ca7c-4fb9-b1f1-769142d77788"/>
        <s v="d2d92ae0-0131-4401-a893-2907767aabdb"/>
        <s v="5b3d4dca-0197-4560-a54f-4179c5b0b029"/>
        <s v="18020988-974c-40b3-94e9-74068bf8d6f2"/>
        <s v="a285743e-2044-48d1-88c7-2ee8a69e49b2"/>
        <s v="43b17f71-354e-4e9b-8d66-86182a2ea746"/>
        <s v="50f8768f-b8f6-44a9-8bb8-a3971705b698"/>
        <s v="db0f0720-758a-4873-bf46-019ec0db9f93"/>
        <s v="1d8f34d9-3c13-44eb-9c8d-04b41a067c6e"/>
        <s v="4742adef-d0f2-48f8-afda-6b3a5e75e267"/>
        <s v="10b94515-0727-41ba-a43c-f05a62e973d6"/>
        <s v="5bf42cae-25ca-4f21-94ab-7e67aba11ae3"/>
        <s v="0a1ef423-c774-4f6f-b3cf-95610dacd533"/>
        <s v="1a7ebc6e-cb13-4fa0-a78b-8f470400fc00"/>
        <s v="4d5dfd0c-5b89-460d-bf9c-4067d85ffa98"/>
        <s v="fdcaa6b6-3633-478c-9932-97f50559300b"/>
        <s v="6f630d69-66d7-4b3f-92cd-ce83d6a1ce06"/>
        <s v="66aa5ddf-1a0a-484c-a00d-3f4d56a7e7b7"/>
        <s v="0571bb4d-3cd7-4d44-88f9-05859805c3f5"/>
        <s v="ed3adabb-4224-4117-94ce-5194929f5dc4"/>
        <s v="c46ed6d5-ade6-4f76-9ff1-022102c3e287"/>
        <s v="24902e0b-e1f4-46d1-9f75-5ba15aa128f8"/>
        <s v="b0a0a5ec-b143-41a8-a772-b000ee9c0a32"/>
        <s v="96a766c7-d8d7-4728-a19d-d3464232eaf9"/>
        <s v="d9a74708-71ef-4a7e-9304-395e6678b0c1"/>
        <s v="e0371364-ea81-4930-b7d3-39f4749c13dd"/>
        <s v="fce3de29-0a78-4854-8211-83e86e09ff08"/>
        <s v="0dfb75cf-59d8-4ac1-b3d1-f783e311da73"/>
        <s v="1af6580f-6d75-4252-b454-ae534b20e116"/>
        <s v="deae11e3-0aaa-4f95-af2c-eb958c803657"/>
        <s v="a3857fdb-59af-4adf-bad4-da061c10d6c9"/>
        <s v="48ac7add-5aad-4917-8eda-dd69d5d49900"/>
        <s v="87f89f4b-61c2-4e42-8eeb-ce64bb8eb038"/>
        <s v="cd32b47c-631d-4eeb-8a19-1c6961c365dd"/>
        <s v="9a47f697-e37f-4848-981d-6daaa368447b"/>
        <s v="7ab0ef24-75f6-492b-bcd5-bf28f85cc2f4"/>
        <s v="fbd40de9-f004-4b70-9d0d-ae1db81d5281"/>
        <s v="9087b05a-3c0b-430d-9113-9fa2fe597ccb"/>
        <s v="a0375c1a-c466-4d1e-8598-e34a784c39fd"/>
        <s v="48b9c111-b185-4897-9844-38716d0925e8"/>
        <s v="f86a42d6-db50-4184-9b61-398553fa10a2"/>
        <s v="a449a73b-21d4-41b7-ae45-683cb467d8ac"/>
        <s v="b72af937-473f-48a2-b8d6-03a3a468336e"/>
        <s v="293d0b14-c254-4151-bf9a-75dc5317ccb3"/>
        <s v="0344324f-982f-40a9-80d6-216a07bc5630"/>
        <s v="83eecb40-f1a9-4855-a5f0-9c8564469e42"/>
        <s v="0fde45c5-ddf5-452d-9ad0-53de6fd6f23f"/>
        <s v="49a815dc-7f51-48de-9812-8635495deb56"/>
        <s v="7a6828fa-2644-4bf4-9c26-4c5685f48fdd"/>
        <s v="331fa529-c707-4b28-8b87-3a66e8847154"/>
        <s v="044ed322-8c98-4c49-b540-33b718ac3907"/>
        <s v="af6ffe8d-c240-4268-9f18-98c3aa9c2d75"/>
        <s v="e99f4f84-f17b-493b-accf-e5b6393e50da"/>
        <s v="944251ba-5553-4ac5-9ca7-7cd29d81268c"/>
        <s v="468221c8-c3f6-4326-a003-12ad7ebe037b"/>
        <s v="9200567f-5fc8-44ed-9eaf-d724c59432e6"/>
        <s v="58c8d6af-0ce7-4215-b3b7-95372b6abaef"/>
        <s v="d88009f8-c32b-412a-af84-dc55c39d90fa"/>
        <s v="dcb5701c-e897-4c55-b86b-76b7a0cfe9f5"/>
        <s v="2719a4b7-8186-4a79-870b-93875ae83c9a"/>
        <s v="e5810335-39a6-4b98-a741-d020b4a42888"/>
        <s v="062e35b8-2580-42a2-bf96-4bd9f93a0f7b"/>
        <s v="4a5f7899-ee82-4918-b805-1d7499aa0225"/>
        <s v="f19159a2-7e48-4e2b-8fcd-9a153e62515c"/>
        <s v="bd954e6a-b683-4371-ae12-8959bf4ec039"/>
        <s v="a8ca44c9-5d02-40c5-9aac-21c211ff8519"/>
        <s v="11cbb930-94d0-4262-a965-2ff98a2e8edf"/>
        <s v="9d744daf-9b9f-463f-aedb-f4c9ca46ab7f"/>
        <s v="9a6cb009-a626-41c6-adee-ba7dbcc2016b"/>
        <s v="a616ad7b-0eb0-49f6-a8a7-02b14417110f"/>
        <s v="14318eb0-9a04-4183-81f1-35fb8968e5e1"/>
        <s v="0de90230-6ba7-4a7e-a282-90c0b7ddeba8"/>
        <s v="8492d15c-884a-40ba-99fe-435431fb7e4c"/>
        <s v="e6bf1f3d-7da0-424e-9fc2-21a9bd4cc455"/>
        <s v="875a67a4-1b26-42b0-829d-6457e69fd844"/>
        <s v="c277908c-0356-4867-ad73-013a4334ebf4"/>
        <s v="a7458a9c-7980-4e26-a0ab-32a1ccd44726"/>
        <s v="375b3ffa-e1a3-432f-8087-f8b34ca5db45"/>
        <s v="e3b8e422-a2af-4c46-8533-0e99dbafeb63"/>
        <s v="fe362397-6bc2-4163-9369-32fcec1c4d5c"/>
        <s v="fd963c21-6a30-40f9-b8da-c5cc9555a61f"/>
        <s v="29a5b4de-bb01-40ca-944f-b50cebb9270b"/>
        <s v="e53f9d85-183e-487b-b6c1-26af89911612"/>
        <s v="46e164de-82e6-41f2-9e3b-0d08e579830d"/>
        <s v="4d644dd1-b427-4f96-a367-41ee560b8db6"/>
        <s v="2789e561-747a-439a-aadf-28328271b43b"/>
        <s v="935fe07f-08b9-47e2-a4ba-8e01b723529d"/>
        <s v="de580cf1-82e8-4b5b-ac34-fac4adffb59f"/>
        <s v="7ee4a7d1-f089-4ec8-9d1b-bcaabfa761be"/>
        <s v="f48a8adc-0354-4b76-b3d3-2fcfd4c870f7"/>
        <s v="b89c5e74-5a2f-4386-8d32-69fb73838282"/>
        <s v="cee65c12-efb7-47b4-aa05-a6c750974120"/>
        <s v="22ed1c5f-963d-4714-8c91-47b2bf63cdec"/>
        <s v="b917ea68-1d83-4c86-b943-346109dc46f2"/>
        <s v="38c1608a-e634-4141-b569-90df6e2a2b5e"/>
        <s v="632927c5-7851-46ac-812d-3a1ae21c4499"/>
        <s v="4593adb5-7e17-4ac0-8a17-c43029b1f0c4"/>
        <s v="72686416-0a5b-412f-9796-88e7be6ea5f5"/>
        <s v="ef523332-c690-43d7-b4ac-bc7e707bd474"/>
        <s v="babe1086-f29f-407b-b49e-471fa783a07b"/>
        <s v="4b4fa022-b691-4c9f-866e-46fe6b2ceda8"/>
        <s v="24636bc3-2615-45b9-94c2-e1d8ba0480a7"/>
        <s v="372f5318-8dd7-4323-987f-90bd60421a27"/>
        <s v="e93529e5-0036-4346-a3b0-d6a095fcd937"/>
        <s v="215f6ed0-89e5-4ef2-879c-2d2ba74a4354"/>
        <s v="ef6965bb-53b6-44f5-bf2a-cc18f9d871ad"/>
        <s v="c58ffcbe-861c-486b-87ec-16ce4ee7061c"/>
        <s v="2c70bbff-290d-4971-afc5-017d796323de"/>
        <s v="19831cdd-1adb-4087-a0d9-ba7a7caf256d"/>
        <s v="6d52250a-9504-40a1-8ccd-bb21868b4ca2"/>
        <s v="dfa9bcf0-6aac-4694-9fa3-f1b6c69400d4"/>
        <s v="130e7fb3-30dd-493e-8ea0-e0ffe80249a1"/>
        <s v="359bc58b-914b-4ce5-983b-6e83be4cfa54"/>
        <s v="28eb4f1a-046f-48fb-bfdf-5feb40158586"/>
        <s v="81692c17-130a-4f7c-8cda-4a752a46674d"/>
        <s v="46bcc5bc-ad3a-42f3-a119-c8697d4f8855"/>
        <s v="302ad879-a68b-4f2d-b3e1-0a937e3ddc2e"/>
        <s v="49e86c3b-afdd-4fbb-94e9-b1deb4eb1e34"/>
        <s v="3c03cfc3-c684-4f69-a68e-affe0714aef6"/>
        <s v="b8aa61fc-20ce-4104-a519-04dbd816a55f"/>
        <s v="80cb3fd0-a731-4bc5-98d4-26aa2d23e3aa"/>
        <s v="5861c593-0a7b-4819-a0c1-6d5023c1d9ce"/>
        <s v="32ec42ff-a2e3-4f81-ae79-01c7ed0f3b81"/>
        <s v="eec8cf25-a611-4120-9828-99714492b0fb"/>
        <s v="505378ae-62b7-4142-8621-2ff765e8dd25"/>
        <s v="543c6c18-ef69-4442-ad2c-53ec1bd58871"/>
        <s v="c05e2d0b-b39e-4325-b779-ccdf7058df85"/>
        <s v="9530d3d5-a5bb-430b-a780-0ea8ebb24418"/>
        <s v="5239cd7a-a620-461e-9248-23f6b4b9879b"/>
        <s v="a6c9b241-53ca-4f8e-96a8-3fd917af2503"/>
        <s v="7415d3bf-513f-402c-8e21-0d34e34267ea"/>
        <s v="998a1858-5f61-4096-8b87-4ce240b61017"/>
        <s v="db01d767-6ac3-4ac7-a6f5-cfa6179e7b9e"/>
        <s v="688215ad-9a90-4f76-992c-0f5ad99fa0e9"/>
        <s v="dd587ca0-7f96-4177-9478-6d4b8646af16"/>
        <s v="2f071432-4ec0-48d6-afd8-b22b9a6284d6"/>
        <s v="3f9d178c-99f7-4937-b48e-1d64ce93e03e"/>
        <s v="2b11052a-3626-49df-acbe-143d8ae17b9a"/>
        <s v="b2fc73ea-eb60-443d-b37b-36aac26e7e9f"/>
        <s v="52e411d0-46b9-46af-b018-3fa7625023a4"/>
        <s v="2f2f9420-23e4-4313-8b29-94f5bf6bee62"/>
        <s v="f822c528-eb02-4ca0-8f78-7dba219221c7"/>
        <s v="8534af6a-11e8-422d-8072-5d931a09bce7"/>
        <s v="d873ebcb-fbc4-41d0-82ee-8c58ecea7b07"/>
        <s v="357a144d-b3f2-4b17-b0c7-5b3359861e5e"/>
        <s v="a930360c-360d-40d3-afe9-2a2b900c097a"/>
        <s v="42cbb4a8-68c2-49b1-bc38-6fb98c3a19ff"/>
        <s v="ad176836-557c-40bd-b382-e63208a7221e"/>
        <s v="919d0c06-429d-42b5-ba22-0b80fd67888c"/>
        <s v="81df9a17-13b8-4566-8a93-b88838dc26d0"/>
        <s v="a0fcf11f-81d4-44a0-a2af-072dd10132fc"/>
        <s v="db8cd56e-a976-4bbb-805a-081ecca50e90"/>
        <s v="5a6e1090-850f-4aae-b00e-a3461bf9a01f"/>
        <s v="623bc3cd-2d78-4b7a-a9ae-672615f8850e"/>
        <s v="1acc2106-eafb-41d5-816d-758de359e6a8"/>
        <s v="ea656ddc-68c5-407f-8dca-eb0096cbafff"/>
        <s v="00a89d2b-e1f4-4a00-a5ca-92bd745dc319"/>
        <s v="ca727811-fd6c-4701-8faf-dcff2c686867"/>
        <s v="1618a9fe-79fe-4066-b9f8-f4c96db77b10"/>
        <s v="e5a10523-0b9c-4bf0-9dfe-c8d04589a717"/>
        <s v="3b49b6bb-c39f-4d89-9b04-ddeaa075547d"/>
        <s v="e8f90d40-5027-4549-b5f2-e0131a9f108b"/>
        <s v="c301bbf7-23b6-4edd-a5d5-446e415d3230"/>
        <s v="0b04ceb9-9fe0-4a14-bae2-a4d5bb03da5b"/>
        <s v="21d1b44f-20dc-48c0-a368-829610e6eabe"/>
        <s v="93e4a54f-9a4a-4ab9-8f8e-eff9649d8a0d"/>
        <s v="a68b755f-acdd-4c7d-a9f4-862da0fc99c7"/>
        <s v="74e011b5-d892-419e-bcad-74fde17532e5"/>
        <s v="bde91174-a71f-45ac-ab86-2978ed0ebd14"/>
        <s v="bfe95dfe-7822-47dd-a3de-42bbd777a742"/>
        <s v="9bf7a6cf-71bc-4feb-b6ea-95ed4e330450"/>
        <s v="3a540dc4-2c80-4fc6-a31e-b33011cf71ac"/>
        <s v="8d931c4a-0d36-450f-9081-b4586e4912a5"/>
        <s v="277b6063-a765-4799-b955-9e3d47a6dda5"/>
        <s v="38916566-acf9-497e-b61a-4cb2e36eae6b"/>
        <s v="159a4ae7-680b-477b-bf6c-0115418750e6"/>
        <s v="bfea9979-2854-47a4-b2d4-b645bb5b01ac"/>
        <s v="2fa2875c-434d-402f-a24f-e185fe71a43d"/>
        <s v="5fb15754-f922-4821-90eb-7108e5789099"/>
        <s v="f9466ba8-c366-46aa-b01d-eef088958dac"/>
        <s v="c4d8ce94-8d0c-426d-895f-f8b1305a152b"/>
        <s v="9d06ae49-c3da-41b8-8d4c-f23d75d76c43"/>
        <s v="4d8d2c6b-c0e1-4de7-9498-d212a105c050"/>
        <s v="15f0a2ae-6488-466f-820d-bcda5161a86b"/>
        <s v="623b1009-b432-4d05-9acd-c4d8545cdf35"/>
        <s v="f2b625e3-fbee-442b-838a-9c2b3ba35423"/>
        <s v="2708e8cb-c15f-4cb9-a98a-3a44c409a0a1"/>
        <s v="7c2891d4-962c-42ca-8d76-a5e01f9b73f5"/>
        <s v="dbc4bf1e-5371-48fc-91eb-59e482aa388f"/>
        <s v="d5119dda-d93c-4870-9b44-3cb0a50584a4"/>
        <s v="283ae238-1ccf-4474-9a5d-a787ac8633ef"/>
        <s v="ca0f0f0e-f197-4a1e-ae3f-2fffd627b092"/>
        <s v="98ba215a-d477-4329-bf59-1601d0a6e192"/>
        <s v="d6b606f8-c7bd-4a30-9531-4dc1c5dcb543"/>
        <s v="2e98f277-5858-437a-b871-60c0f7434ad4"/>
        <s v="ecbfc278-995a-4815-9468-014d89530710"/>
        <s v="e05a9b7d-40ed-4f7d-b5ba-108e5928024c"/>
        <s v="eea10231-57ae-401d-b3d3-ee3654ad8ecb"/>
        <s v="13e29a6f-ee22-4796-af06-98570b7bcab8"/>
        <s v="41492e40-0769-4ed9-81cb-27c775fe9424"/>
        <s v="14593a40-d5a4-4471-969c-8c1e9650f418"/>
        <s v="68bae67b-0b53-42da-a8fc-cf42fba49a1e"/>
        <s v="7a216df0-d394-4275-a77c-4cee9346ba7c"/>
        <s v="3ad0849a-eefd-44b7-9095-e1e82c1acaa0"/>
        <s v="3522e267-7cb4-4a27-8d77-1ecdc656ab28"/>
        <s v="e516927d-39c1-4b66-9e3b-05e15f955a27"/>
        <s v="03aca477-4254-4fad-abb7-4d12b350b84b"/>
        <s v="e812f8fe-2621-4aca-bff0-6e55c4181042"/>
        <s v="149f8f79-ccb3-4290-a752-5bc080a6de23"/>
        <s v="3010b71e-4da7-47b7-9030-dc69013c937e"/>
        <s v="b0f3b343-40fa-4b49-8ac0-4af0939b18f4"/>
        <s v="5fc3e8e7-54b1-4626-b242-cbb442ebaceb"/>
        <s v="a731d7c5-e983-4d62-a2a8-7e3ba1c7486e"/>
        <s v="47cee3ed-9cd6-41d8-9056-b3d1639240b8"/>
        <s v="9dc95a1f-ebb3-4af0-84a3-964a45296b48"/>
        <s v="ecf3c7d9-62aa-4e2a-9234-46d16e5bc40a"/>
        <s v="0aeade49-1276-40bc-a8eb-65950bc798ef"/>
        <s v="2f0ceb41-4f1d-483e-be15-5f8a1452f121"/>
        <s v="bf50c698-4205-4378-846d-d84e3c7ac3c2"/>
        <s v="eff91559-6537-4450-8129-2faf10f7111c"/>
        <s v="9b6f8426-1310-4cb2-b3a0-0f65fe66c1da"/>
        <s v="dfb232a5-2742-4e56-b0fc-f64a30b908df"/>
        <s v="969b7460-aaeb-452d-8ac0-55f9920c3a49"/>
        <s v="535de8cb-46c0-41fd-9309-32adece9f05c"/>
        <s v="0fc50523-3e8a-4ce6-8c52-4949c3248f55"/>
        <s v="da005e4b-0ca0-4790-8c8e-2bac4263ab4d"/>
        <s v="ddb8f65d-45ee-4ba1-9268-c64ed5d87970"/>
        <s v="3b791bd1-18d4-436b-8bba-94e1949e3c09"/>
        <s v="da940b91-eba9-4d87-af35-be7f8721e06a"/>
        <s v="15396133-99a7-4bc7-ba02-429844f4a629"/>
        <s v="7dda981a-5495-4668-8ae5-efcc2fa0e8b1"/>
        <s v="aea175e6-461e-4e8d-8503-d6905568d0dd"/>
        <s v="f8a5392c-7209-43e5-8e9a-e77c674447d3"/>
        <s v="762c08ee-8151-4388-ab6e-db0918595c2f"/>
        <s v="fba54d8a-9275-474f-9c8b-44e82deef58e"/>
        <s v="04c8ead7-5bf3-4980-bf15-e8a5b5812f88"/>
        <s v="403a0bc8-ea04-4fda-ab59-d4dfce21354b"/>
        <s v="3752fb59-70d2-4444-a671-ea7e118d034a"/>
        <s v="3e50db25-47de-4f53-adc5-5d4cd6ecf1d3"/>
        <s v="455cb937-7433-447e-b16a-f1e0087641ea"/>
        <s v="6bbac616-1aff-4b60-b06e-c7d9efe6b3b2"/>
        <s v="51bd844e-803a-4b41-ad1b-9044dc949805"/>
        <s v="66fbaa24-2f99-48fc-b03c-b87082b96379"/>
        <s v="1e87e159-c5e0-414b-bd19-1e18d9800ee2"/>
        <s v="6c68a5d4-9278-4e74-87a7-e214d3681e91"/>
        <s v="afb184f1-aacb-406b-bcb1-0e1df5debdb4"/>
        <s v="c9db3433-6484-481f-b61d-bd372eb5ec1e"/>
        <s v="bfb483a5-b4bb-4a0d-a6aa-e081dbabbd10"/>
        <s v="39ee2d8b-5040-4aef-a2c5-4b47988540d3"/>
        <s v="daeb4aad-ec07-426a-a965-101e20f17dfa"/>
        <s v="a385b123-e82f-47ca-af94-3d5c448ece2c"/>
        <s v="d589c572-b35f-4b41-8ac9-2acb72f1cb08"/>
        <s v="9ff46f4c-216f-4e6d-b97f-66b71cfefd72"/>
        <s v="e46a5e4f-7fd2-4490-9adb-b925a004d6a9"/>
        <s v="94ebb818-a86c-4b38-8425-444f9e2715e8"/>
        <s v="cd9f6c04-852f-4888-88f2-454c50486bd1"/>
        <s v="ffa665bf-dff5-499e-9bd2-f0e30975771a"/>
        <s v="9f50aff8-2f0b-4470-bd1e-c0082575c290"/>
        <s v="1882f6a9-0344-4264-b0f2-6cd023132e68"/>
        <s v="5ecb179e-c41c-46e2-8de0-31c4da08e8dc"/>
        <s v="02cce923-4f11-4e20-af45-d25c4468f3b1"/>
        <s v="e7d862ef-b303-41d6-8bdb-e3f0a6b1fc1c"/>
        <s v="de858934-d4d9-48e9-99ec-d69b28d85e83"/>
        <s v="441369aa-ab43-4bb4-b3b6-66cccff1050c"/>
        <s v="c6eeec78-0ce3-4495-bbd0-2aee082a6ecc"/>
        <s v="7ff53d7d-b2f9-4c4f-89b6-c468195a84cb"/>
        <s v="0f2a4e48-453d-4e11-b3a6-13e8a01c26cd"/>
        <s v="5e0345bb-337d-4751-b4b4-6c9e6762b8ba"/>
        <s v="7685f7bf-b302-4ba8-8feb-a96b427b97f5"/>
        <s v="bb89e019-2943-4b80-a981-d4dba74d1f05"/>
        <s v="70f03974-e3fe-48ce-bb9c-e055296634b5"/>
        <s v="b4555b19-5364-4234-af06-ff0af3d9870a"/>
        <s v="d6eca2eb-5695-4af0-b23e-f888109ced8e"/>
        <s v="3ba6c185-5183-42ba-a526-8b072c8e97fe"/>
        <s v="bc9dfed6-f9dd-4e54-b345-284c7570d674"/>
        <s v="c5a4e8b9-0ae2-499f-8a12-7d6f1451ea86"/>
        <s v="726c928e-7ef9-4321-9d30-ce5c39b9e14d"/>
        <s v="2359698f-3a98-4017-87de-5502f74f31a7"/>
        <s v="83883b07-4cd7-405e-8da7-4333cd418d00"/>
        <s v="d778a957-813d-4b4b-aed0-8971eeaa4f9e"/>
        <s v="f04ab085-9d05-44c9-acd7-fb06904ea883"/>
        <s v="f48c76b6-9b9c-497e-8187-4da02e20b10f"/>
        <s v="a7ae6797-4da0-402d-a3bd-8b363d1a9709"/>
        <s v="eb522ea9-5a34-48b2-8890-0c8c4ea08ad8"/>
        <s v="22d1b42b-3b6a-4a2f-bc9b-883388001bf4"/>
        <s v="978bf1eb-20be-4422-a2fb-4f6d033fac84"/>
        <s v="8f37cc09-ae7d-443f-8a77-308b0f2ddd8d"/>
        <s v="cf21f533-8346-4169-acc3-ff135bec4c4f"/>
        <s v="65cd78ff-a970-4d01-af8a-59135c150718"/>
        <s v="5fb10b56-c2d0-447e-900f-cb0dea129e96"/>
        <s v="4fa178f3-5d78-4f09-b654-b58038c213c1"/>
        <s v="0d9b598a-ec57-4e06-8e7e-fc7e2568533e"/>
        <s v="2e03e952-905c-4b07-befa-37e75e142c4f"/>
        <s v="32292da1-abc1-4f41-a8e2-40c80357789c"/>
        <s v="18ca93c2-7eb4-4683-8641-d7d2cc4b58ca"/>
        <s v="6047d73a-2932-4409-ae3d-cba28be11555"/>
        <s v="be522e87-539e-4efb-b22c-b5c5e11cde6b"/>
        <s v="d6ab7ef8-108e-4802-bfee-6114b4c1c0c0"/>
        <s v="b7416359-115c-4aa5-9893-3b8017d9d1f3"/>
        <s v="f49c2c7a-f71d-4576-94de-04b49389c62c"/>
        <s v="78785ea9-497b-49a6-8d4e-bd1cb43d0219"/>
        <s v="9cf2738e-496d-47fc-99e7-c37228e0e024"/>
        <s v="9da4a848-a9af-46b2-84b5-8f3d0ed0071e"/>
        <s v="be0aff9b-9c03-4975-b752-169b2012f95d"/>
        <s v="40807b61-f768-4de2-80a9-32801e338c23"/>
        <s v="e3d33625-afab-4d2a-943b-2e7c1db845c7"/>
        <s v="276dd101-aca7-43ae-975f-c6dfacc9ff36"/>
        <s v="c19af9ab-a45a-4052-9d45-7be35b331c71"/>
        <s v="f2b94f92-6a6e-494e-a6f4-37d430753286"/>
        <s v="1ddf0b60-d303-4110-9b6d-74b69e231886"/>
        <s v="b56e3e15-b8b6-42ab-8aca-39eac7006938"/>
        <s v="2f1d9a83-0ed0-4474-975d-6853cd360eb2"/>
        <s v="b84c17aa-6cf9-4a9d-a1e8-cdc7b6dc46e0"/>
        <s v="b9b4bd97-4a2c-4cdb-b405-03cfd42dacdf"/>
        <s v="bb7d3b40-28ed-4d62-b4dd-c48078b591f9"/>
        <s v="4a206ae6-ec00-456c-acd5-e0cb69de6c8c"/>
        <s v="0fa66354-2fca-4ae3-aa97-673e35001aa9"/>
        <s v="53466992-bd6a-45bc-9a9a-2be269c819c1"/>
        <s v="b88d841b-e32f-4b89-ad74-e1532ae0e4ba"/>
        <s v="1f5947a5-78a6-4fc9-8b8d-55830ab97371"/>
        <s v="5c04fad2-301a-433c-8cf7-82ab1621338f"/>
        <s v="6d38bd2f-ee41-4b08-a1ab-2c5b9b7e9501"/>
        <s v="2b07781e-9a98-4251-a848-ac8f076aa5f7"/>
        <s v="66871b61-7579-47da-b80f-53492997e50f"/>
        <s v="139a9a4b-1cb4-4b91-b718-d0bdd7db31c9"/>
        <s v="437e0dae-dbf7-41a8-8a03-010b9597bbd2"/>
        <s v="2deb0ff0-5909-4169-8a23-4ed3979467fc"/>
        <s v="093585a3-96ce-4513-8d60-1dd36c4b30d2"/>
        <s v="d0637fde-e4c8-4c60-9817-a3494a623a6f"/>
        <s v="98adddae-3bee-4035-9b2d-f6bea62bd0f0"/>
        <s v="14426fbb-ec2b-440e-b570-57efc8becdfb"/>
        <s v="bf320b63-6f7d-48e7-bf7e-a5005d1fd074"/>
        <s v="e78b5351-ac0e-4c1b-aafe-fb0085f1d2a6"/>
        <s v="26b800f9-302a-4945-9b42-ff31a4e85121"/>
        <s v="ca9ece3a-3732-4580-ab3e-6a4315e852df"/>
        <s v="788fde80-7b00-46d0-ba98-6a341ef49b5c"/>
        <s v="3befa239-f0c1-42a1-bbc2-dce3242bb275"/>
        <s v="248c63ec-a5f4-4427-b99e-4981509f186a"/>
        <s v="704ba3cd-85d7-402d-89b3-deda95f66626"/>
        <s v="64f4eddc-0f0a-4ad7-8fef-7e58a98d63d6"/>
        <s v="65bc4877-f333-487b-b32a-47f8819ee73a"/>
        <s v="13732886-4ad6-4644-a684-2175f54b092a"/>
        <s v="64bb8ce8-81b0-41e8-ad65-f5ea30ff4a7f"/>
        <s v="d92249ae-a974-4776-a4d4-603c76dea4f6"/>
        <s v="82036a66-c988-49ae-a1ec-d7d3204ee236"/>
        <s v="e3aaa11f-951a-4505-9e89-8a20a6a5a361"/>
        <s v="0bba6c1b-aac4-4ad9-bd6e-53f2969a8b69"/>
        <s v="2bef7682-a992-4bb0-93d8-8615e2cf1e9e"/>
        <s v="914085c9-eb4b-4e84-af5e-4d97bebd3965"/>
        <s v="acf87cbc-1e5a-4ce7-be7a-5de80ac65aa7"/>
        <s v="c2f44d8e-3ce4-43f3-946b-4e545c6a3acd"/>
        <s v="a73415e3-5c7a-4b85-9354-af53d420f4a1"/>
        <s v="f1506f88-a592-4f3a-a137-182ba552a789"/>
        <s v="7c8f0f60-cbb3-4e3a-b103-2c6e150d75ec"/>
        <s v="6a472bb0-9a95-477c-9fe7-9d1ea72f8e26"/>
        <s v="efa8d0e2-0cab-462a-9705-a93bcc443566"/>
        <s v="5ca27785-89f7-490b-a7f3-05c1b401c956"/>
        <s v="20c8a438-df8a-4c3f-af84-14d7f715bc74"/>
        <s v="c28be812-12f6-45b3-9134-d3eb615d8384"/>
        <s v="84be9068-d2a7-471f-afd3-48a9e0e6258f"/>
        <s v="599b4ba8-1a70-48d2-8431-157c6bc00e3e"/>
        <s v="7fcac79d-653a-4eda-a77a-5ba412f243a8"/>
        <s v="2ccc9e95-c087-4cf7-a1bf-ed334f15de88"/>
        <s v="fe0d9ff2-643f-4961-99d7-d7d34d007d95"/>
        <s v="eb48f4d8-7ca5-4302-8921-939bb4e688c8"/>
        <s v="e6bf4961-3840-4168-aadf-a3c4fbc755ea"/>
        <s v="8f54440c-45c6-4a50-a00e-08e1b91f700a"/>
        <s v="d7189df6-09ff-4e33-b3ae-116821c5e4f2"/>
        <s v="e51dbe77-22a7-46a9-86e1-e57962355201"/>
        <s v="557ce443-efc1-4b8f-8c94-d5f9e85add49"/>
        <s v="c388e0b1-6bc4-4bb4-aa68-f9c496b48852"/>
        <s v="b9d29000-589f-448a-b59f-fc3785d2f4ed"/>
        <s v="f58c7dd0-9283-4e77-b483-211c805335fd"/>
        <s v="55ed90ef-2dff-4e4a-9be5-031dd54b0447"/>
        <s v="13030812-68dd-42d2-a464-6e43e21c7160"/>
        <s v="09f7e90a-4612-452f-b003-548ce65cd862"/>
        <s v="d4519d2b-2af4-43b9-92ce-99a1af7c1c39"/>
        <s v="cf02bffb-20d2-424a-8562-6421c4390dab"/>
        <s v="dc6d2f05-340b-4749-9ad3-042769c37da5"/>
        <s v="f512e8e0-8996-4bb4-a4c1-1ca1fa02d7a3"/>
        <s v="536d984e-6a11-4fad-98a5-0c0f2c3eab62"/>
        <s v="fc28863e-447f-4e5e-b76f-727218233bbd"/>
        <s v="4087c266-e159-4c37-9859-2de71f3a402f"/>
        <s v="370c7b1b-8106-4f8c-9191-2129da90cd71"/>
        <s v="afa2c8dc-30ef-4d06-a884-753eb13959d5"/>
        <s v="b84807cd-3365-4d28-89f0-b079031f5ace"/>
        <s v="2ecc022d-a17e-4c25-8702-1aa16ae7bc7f"/>
        <s v="6ceff389-27d6-48b0-9051-015c43e238ea"/>
        <s v="334cab1c-58ee-451f-a71a-c48dad603a23"/>
        <s v="62880283-cd1b-4f4e-99a3-cd9ea68dec75"/>
        <s v="ae8f103b-54bd-4840-8054-58334478fcd3"/>
        <s v="658c1623-39e9-4e55-a064-b2ebcb84c9dd"/>
        <s v="766a9878-2161-4498-9ec9-3c863f81597f"/>
        <s v="8d468061-8140-43dd-8b1e-2c6edaba7dcc"/>
        <s v="56a7ff80-d327-4d57-b21f-f2c6c371d964"/>
        <s v="391be65f-42c7-435e-a897-760d39572df7"/>
        <s v="ff69325e-99a7-40f4-b582-9f5a5785b86a"/>
        <s v="9c62e74b-f4c5-4930-95fd-05af54d20e4e"/>
        <s v="434d6a52-0bd2-43e3-ae6e-a2676278aafc"/>
        <s v="73a75504-55eb-4a89-a10c-2d1efea41435"/>
        <s v="6bfe7532-11da-403e-8695-3432a19ae5d1"/>
        <s v="98ab13fb-7bec-46d3-8e53-51744b37ccf4"/>
        <s v="c19127d6-59de-4de0-9905-f31dc004a492"/>
        <s v="d17e48c2-ebdd-476f-a8fe-cc4fded14748"/>
        <s v="98a4fb80-94ac-44aa-89fd-0914dddf51ef"/>
        <s v="9d6a710b-4d65-4c42-b09a-ec0593283b20"/>
        <s v="d3179fc8-0768-4a39-b460-5d801d944a0f"/>
        <s v="656341de-b604-4cba-84be-2bae57863b9a"/>
        <s v="385ad79f-78f0-4a0a-bda7-382086d6eb0e"/>
        <s v="a1112cd2-63e8-4dcc-bde0-8594ed9ca808"/>
        <s v="7e71d750-4118-4614-bced-33bc8a40c19d"/>
        <s v="ebb7f7f9-3642-4bc0-9057-64a4639500f3"/>
        <s v="1ba05618-b233-4a66-8b9c-8d5fb409e733"/>
        <s v="07b2ef42-4121-4df3-bd9c-1f486c9f297d"/>
        <s v="68b92e1b-e711-4dca-a7ba-83604a5c1cd7"/>
        <s v="611da92d-86f8-4551-99c1-cdcc54f9c6c6"/>
        <s v="e00b7f5d-8749-4514-9224-58cd8b62ec03"/>
        <s v="ac3c9e48-76e6-4cf2-9281-acac55b27556"/>
        <s v="2ed16181-3218-4baa-b701-097b568c1fa9"/>
        <s v="8ef64a8b-022e-40fa-9f38-9fe3c0e6f035"/>
        <s v="47592560-65a8-473a-b958-19e7cbec3899"/>
        <s v="34b351d2-1982-492a-9142-c10a4ccc0deb"/>
        <s v="42d19381-42c8-463d-9536-ed53fb96f056"/>
        <s v="bd0878b4-0d0e-440e-8d9c-69485b286a31"/>
        <s v="f2eed8dc-4dba-4e98-adce-448bf9ddc2fc"/>
        <s v="87c53591-0c10-4ac0-888a-e8ca04e0db2d"/>
        <s v="31d8d43e-6693-4f55-8f82-c7c75f148ac0"/>
        <s v="5e112bc0-2924-4555-aef0-35867b3ba735"/>
        <s v="f304a74f-131f-4052-87d2-19b3a9fe4da5"/>
        <s v="c9c12ef1-297b-4112-9f21-6fbb4cf177a7"/>
        <s v="eded349c-62bf-4983-8641-447472f54b1e"/>
        <s v="03e27e5c-5ddf-434d-aec0-a24f7700d8e6"/>
        <s v="ce549f49-5e61-4bec-bd01-8864b33a8183"/>
        <s v="33b7fb60-60f9-44ed-8831-dd591c034061"/>
        <s v="4603414f-4b7a-4f1e-b669-9691916df58f"/>
        <s v="0c245d2b-b3db-4aec-b239-df0e7325bb31"/>
        <s v="9afa0f19-48f8-4411-839b-e5ba7d46fe19"/>
        <s v="4e5d53c5-778b-44b4-be76-2471244b18dd"/>
        <s v="2dd38964-4eff-45fc-b829-d4e0b0b5de28"/>
        <s v="69af8044-6abb-4f97-8734-b7730e2b272f"/>
        <s v="77548eab-aa23-47df-aca1-6e96ddfe41b1"/>
        <s v="226d7978-8b50-4eed-af03-4dbbbf9a4299"/>
        <s v="a9a959bf-9b50-49e9-b2de-57df0991f1a3"/>
        <s v="536a44cf-0000-4623-9071-5cba7b83cf50"/>
        <s v="568d5251-a028-417e-9043-03bba128203a"/>
        <s v="9142b33e-0eea-46a8-b2d6-65748c79a51b"/>
        <s v="99dfff88-bb1e-45ab-824f-5039c6214e7d"/>
        <s v="17f493a4-a6e1-4656-8b5a-d1f05bf95168"/>
        <s v="c3373f7f-cade-4d57-97d9-8e51f1106393"/>
        <s v="b6ae726c-3cb1-47d2-b60a-ea938381efe5"/>
        <s v="953fcb28-edb7-4ea5-bdd6-aca6f0d93c77"/>
        <s v="51e84dce-fbf9-4ecb-820d-bf7fc7bfc3b1"/>
        <s v="467ce3a5-14e6-4969-8828-44a208759e5b"/>
        <s v="9b17f6fd-1775-4c39-9f7a-a713518ea0ee"/>
        <s v="d26a9356-d7f0-42ab-96b2-d71d0a0fcd81"/>
        <s v="72623046-6989-4844-9ce5-cb7fd7762169"/>
        <s v="7bdda34e-2371-49e3-b76f-869d84c79fc2"/>
        <s v="4b2fe627-376b-44ce-b482-df32ee8eac71"/>
        <s v="df367afb-3443-4711-842a-ce47bcb85b8f"/>
        <s v="d99c1fc5-77af-435c-9a48-a77f6ce04f4a"/>
        <s v="923b6b02-c43c-4872-b9fa-0ab3894580bd"/>
        <s v="7bea3f5b-22eb-463b-bf66-3871fcb11037"/>
        <s v="1e3517b0-ab0d-4136-a752-ae05a31aac28"/>
        <s v="86d29442-63d6-4317-a6ee-f7fa92331384"/>
        <s v="1993c791-652a-4552-8631-49549a41e62c"/>
        <s v="403a931d-18f5-4936-8762-4e4f3210bbbb"/>
        <s v="a1ab5d11-3df0-4684-b778-6f2b240bd242"/>
        <s v="e623b4bc-40de-4159-be50-ca26f7f733f1"/>
        <s v="24087ad9-9abf-4b27-84d9-e23e4d29b92c"/>
        <s v="6ad29a04-87b9-412a-bfa4-e76284ed2864"/>
        <s v="90d0d880-06fe-4557-ab4b-e88599ad8f5f"/>
        <s v="b751ad98-e765-4d12-b395-2b943a08c93a"/>
        <s v="237d5e54-ee7b-47ea-ab81-d2c73be3ea00"/>
        <s v="4db004d7-d1fd-4808-b0a0-e954ac75edb2"/>
        <s v="74a5fa0c-41c3-4962-b689-75c86f40ef5b"/>
        <s v="fb30914a-ab31-4c00-8964-60cc27dff6fc"/>
        <s v="60863e2c-fc3d-4159-9062-823d94962043"/>
        <s v="56c8703c-0b6a-4855-8f8c-71ffbb864a41"/>
        <s v="2238bc41-e5c5-4920-9eb3-775d98f47820"/>
        <s v="6710cae0-d2bd-43b3-91c8-63f62074f36f"/>
        <s v="db46dd88-18d9-429f-825b-7c85c476714f"/>
        <s v="67b113fc-9150-4782-9ffc-2ce3ff279934"/>
        <s v="341ca0ab-92c0-4215-ad6b-f48271555c50"/>
        <s v="dbe586b9-b584-4a17-ba54-78342d58f8f4"/>
        <s v="70820e8e-b154-413b-878b-059ee45a8c8a"/>
        <s v="ca215cf9-e9de-4832-a79c-8edc43fe308b"/>
        <s v="d50938f1-1912-4750-9842-d6973cef5ed1"/>
        <s v="04b44966-a995-4e15-858a-189bb63130c7"/>
        <s v="159765ac-c14e-4227-b94c-75e535f544d4"/>
        <s v="9e51d72e-f057-41a2-8b0a-8898a332b358"/>
        <s v="d61db263-a3f0-4136-8374-b461e590023e"/>
        <s v="05cf06f4-fb9c-46b9-8143-90d133de7c7c"/>
        <s v="de9a6188-6d9e-46ed-9a8d-fbb149349404"/>
        <s v="847465bf-f550-451d-b75c-c1d5262a7bec"/>
        <s v="bcd3e1e2-94b7-4f50-a56b-11e97168c46d"/>
        <s v="4cdef435-302e-4962-b0f5-2bb4e72c1d30"/>
        <s v="084827a9-2965-4cfa-97d7-5f57b5e02f96"/>
        <s v="52e21fae-ec23-4adb-b27b-42b825d45da1"/>
        <s v="bcd3255a-5676-4a54-872e-617967ef9c19"/>
        <s v="d9986ecd-24db-4c90-840f-6d223321f62d"/>
        <s v="2b68f7ce-9980-4a86-88cf-d8f6811a9a7d"/>
        <s v="6b680f31-6040-4b11-98ca-a2ee0255b97f"/>
        <s v="afd7ee56-29bf-4272-b137-9c2237d35221"/>
        <s v="a24001aa-b339-4204-b7e5-5636d37cc08d"/>
        <s v="74a46b75-8ec7-442d-b11e-e14b65f22c33"/>
        <s v="0c5b8f38-652b-4db9-92ea-8feb9cae757e"/>
        <s v="bdd907a3-4305-4816-8716-329796ec068d"/>
        <s v="1f91a794-b579-41e7-8564-ae1c8cb079f5"/>
        <s v="c8821ff1-946d-4041-bec5-c92b1b5f2898"/>
        <s v="3690339f-0b74-4d4f-aac8-35097568ca65"/>
        <s v="3570fca5-d3ac-4403-a01b-c54e364251ee"/>
        <s v="df0bc4dd-a51b-4e47-a51d-f490a26628d5"/>
        <s v="4e4121fb-538a-412a-878d-73fecf149994"/>
        <s v="b06e22e0-b5db-464a-8a84-3679387d120b"/>
        <s v="94abe799-2be4-4e4d-ba6e-bbc16bce3ffb"/>
        <s v="96794a0b-4207-419d-824a-4381344626b2"/>
        <s v="58360722-1db2-41a9-b6ec-d5ab305c03c2"/>
        <s v="6218a07b-d9a2-495a-b4a3-e7d61904c278"/>
        <s v="38327d81-4ed5-4147-947f-8875750ca545"/>
        <s v="535bf82f-5c90-4e28-83cb-dab0da70201e"/>
        <s v="72fbd806-f104-4e32-8eee-a68c1a3a74e6"/>
        <s v="f71c149e-50ba-4975-8b2c-9d6f7d3f02a7"/>
        <s v="a8bb07ef-cb3b-4338-aa0b-2d10120abead"/>
        <s v="83c6aabb-fb9e-46cd-b494-1bfbcedaf20b"/>
        <s v="d8e99a33-7781-4f4c-bf88-2cc5f1afc6b0"/>
        <s v="c46fe632-5a1c-4d9b-b22a-54fd560155af"/>
        <s v="504f46e2-2fe5-42e9-8f62-b2febb7a3f33"/>
        <s v="e916fa00-1f9e-4969-a020-0cf660386ef1"/>
        <s v="6fd302c6-ceeb-4f6f-8b54-a3fc39cc7f55"/>
        <s v="0b976c30-6c96-4a64-9321-07662b420105"/>
        <s v="d1ec3803-9bcf-43a1-bfa8-76af7a51498c"/>
        <s v="d310a9bc-aa26-409e-bf22-844f2823ef24"/>
        <s v="573652f0-b3f0-4fec-9850-bd5afaed5627"/>
        <s v="c34d6790-83f1-4c2c-a48b-9fcb9157d48c"/>
        <s v="de1775c9-ebb9-46ef-979d-5a8d10960ef9"/>
        <s v="cc45745c-06af-43ff-a117-1df5da687daa"/>
        <s v="895f64d6-cea1-4386-b012-9c852d46250f"/>
        <s v="5802cb4d-f2e2-4332-a2f3-febca25ea310"/>
        <s v="879d9c01-a68c-4e19-addc-92d17cf6fd99"/>
        <s v="dab03b03-9729-4243-8947-771bd42de47c"/>
        <s v="f05f04cf-3089-40f8-9b66-7c713d512bba"/>
        <s v="3754cf42-ccc9-40b3-bd5d-03c89d425b6e"/>
        <s v="42d851d5-42a7-4ade-933a-357faf87f12a"/>
        <s v="9fd54ec3-872f-41e8-b760-7d2e5ff5c097"/>
        <s v="716117d3-01cc-4f56-8cf4-8296a0e537a5"/>
        <s v="f31580f7-a7c9-4c6b-8fee-22c23a5ae55b"/>
        <s v="01fadef3-f2a8-45dc-b55a-0796c3738f15"/>
        <s v="ed6be55e-f446-481c-b865-9604cd873b6d"/>
        <s v="e72c17fa-9622-487e-96a1-b6df3b204ed3"/>
        <s v="01033fb3-9b02-483f-b680-e5e51e3f38c0"/>
        <s v="c63310ea-b08d-45d5-bd04-4e473ef92cdc"/>
        <s v="0f3b6479-7cf8-41a4-bb92-81e7bc2d4ce5"/>
        <s v="214f5b80-6ece-4e3a-a278-cbf90bd848e2"/>
        <s v="781fde2b-8c9d-4275-9e07-4362181de8cd"/>
        <s v="2382fdcc-eb7e-4cc9-993f-3ad7d64caf02"/>
        <s v="7aac1a1c-9424-4798-974d-9123232ae2df"/>
        <s v="732765ae-dfdc-49fa-9d19-b58d32289fa0"/>
        <s v="f313cba7-1591-46d8-af44-b3239b4e4d66"/>
        <s v="4b9ec84c-4343-472b-a048-db18c67502ef"/>
        <s v="a1374b53-58df-489a-9dc0-00e890631e06"/>
        <s v="121446bf-b597-4782-8c47-e55bdede5c44"/>
        <s v="d7a9ccc3-349d-4413-bd8c-2efb292c62df"/>
        <s v="3cf907f5-cc6b-4bf2-97cd-4c3133f683e0"/>
        <s v="9e0514c5-6614-49da-86ec-2078477cfac4"/>
        <s v="397fc52e-f32e-403f-a5db-e71d03b0a104"/>
        <s v="5d69d0a3-74e8-4269-ab43-bdd814b97a8b"/>
        <s v="bd502fe8-af3c-45db-a594-f95e16ddbd8f"/>
        <s v="af44e2c5-8883-451a-b0ae-aea2a113a45d"/>
        <s v="7b973919-a660-4bb6-996d-1fe69fcdd1f8"/>
        <s v="03590be2-4353-4c68-b1e3-06e4658d8fe0"/>
        <s v="3cb6bfd9-36b8-4146-9522-15f3ed82637f"/>
        <s v="ab2172c6-c24d-4215-9b4e-ac997c1ee7ca"/>
        <s v="c351039c-a526-45fa-95c2-0f8f49d4b30d"/>
        <s v="4b9f0612-d5ce-4a76-8e21-f5280510e91b"/>
        <s v="eb59369f-c2e0-4556-b79f-f043dc4f6b70"/>
        <s v="23c403c2-d396-4e73-bec1-d473d5d8ed4a"/>
        <s v="09fd9e32-b882-4502-9bf5-a190e3dc4864"/>
        <s v="7ebdbc97-e645-4ed6-b580-657f1724639a"/>
        <s v="85776c86-a649-4c11-8620-531d2cd71057"/>
        <s v="2f6634e1-64cd-47c0-93b2-aab5fd8e1426"/>
        <s v="c86755c1-ff58-4e6f-a69c-daf62f42a3bb"/>
        <s v="9fb04801-389c-4557-8092-076a91475202"/>
        <s v="4cbe57b6-94b1-4e21-a9e1-1e5c3795e308"/>
        <s v="442b2098-06d3-492e-accf-ede48654b32e"/>
        <s v="3e571d77-e3c7-44f3-9dac-16ef4e85eff5"/>
        <s v="ddd70af8-c811-4536-acf5-034e15820cb0"/>
        <s v="b3a850e1-1102-44a6-b748-0d05ae20e3d4"/>
        <s v="1305c60b-7729-42a9-9f73-e15a6a8f72d9"/>
        <s v="70f37a19-89b2-4933-8e09-0aafe9830375"/>
        <s v="26ec6488-6474-44a6-96fa-34078b6f3b7f"/>
        <s v="e38f488a-2fb5-4509-b761-c2a1df5af133"/>
      </sharedItems>
    </cacheField>
    <cacheField name="enroll_date" numFmtId="165">
      <sharedItems containsSemiMixedTypes="0" containsDate="1" containsString="0">
        <d v="2023-07-08T00:00:00Z"/>
        <d v="2023-06-02T00:00:00Z"/>
        <d v="2023-04-12T00:00:00Z"/>
        <d v="2023-04-15T00:00:00Z"/>
        <d v="2023-06-30T00:00:00Z"/>
        <d v="2023-02-23T00:00:00Z"/>
        <d v="2023-12-21T00:00:00Z"/>
        <d v="2023-06-11T00:00:00Z"/>
        <d v="2023-05-22T00:00:00Z"/>
        <d v="2023-01-13T00:00:00Z"/>
        <d v="2023-07-21T00:00:00Z"/>
        <d v="2023-10-13T00:00:00Z"/>
        <d v="2023-09-26T00:00:00Z"/>
        <d v="2023-07-03T00:00:00Z"/>
        <d v="2023-02-18T00:00:00Z"/>
        <d v="2023-09-04T00:00:00Z"/>
        <d v="2023-10-19T00:00:00Z"/>
        <d v="2023-02-04T00:00:00Z"/>
        <d v="2023-02-28T00:00:00Z"/>
        <d v="2023-05-10T00:00:00Z"/>
        <d v="2023-05-26T00:00:00Z"/>
        <d v="2023-06-21T00:00:00Z"/>
        <d v="2023-08-29T00:00:00Z"/>
        <d v="2023-01-10T00:00:00Z"/>
        <d v="2023-09-07T00:00:00Z"/>
        <d v="2023-05-25T00:00:00Z"/>
        <d v="2023-11-20T00:00:00Z"/>
        <d v="2023-06-19T00:00:00Z"/>
        <d v="2023-10-31T00:00:00Z"/>
        <d v="2023-08-01T00:00:00Z"/>
        <d v="2023-03-30T00:00:00Z"/>
        <d v="2023-08-14T00:00:00Z"/>
        <d v="2023-11-11T00:00:00Z"/>
        <d v="2023-08-02T00:00:00Z"/>
        <d v="2023-10-20T00:00:00Z"/>
        <d v="2023-08-25T00:00:00Z"/>
        <d v="2023-01-27T00:00:00Z"/>
        <d v="2023-01-03T00:00:00Z"/>
        <d v="2023-09-08T00:00:00Z"/>
        <d v="2023-10-06T00:00:00Z"/>
        <d v="2023-02-16T00:00:00Z"/>
        <d v="2023-12-06T00:00:00Z"/>
        <d v="2023-01-19T00:00:00Z"/>
        <d v="2023-04-06T00:00:00Z"/>
        <d v="2023-07-15T00:00:00Z"/>
        <d v="2023-01-01T00:00:00Z"/>
        <d v="2023-06-05T00:00:00Z"/>
        <d v="2023-08-03T00:00:00Z"/>
        <d v="2023-09-10T00:00:00Z"/>
        <d v="2023-01-12T00:00:00Z"/>
        <d v="2023-04-23T00:00:00Z"/>
        <d v="2023-08-05T00:00:00Z"/>
        <d v="2023-06-06T00:00:00Z"/>
        <d v="2023-10-24T00:00:00Z"/>
        <d v="2023-09-16T00:00:00Z"/>
        <d v="2023-03-01T00:00:00Z"/>
        <d v="2023-09-24T00:00:00Z"/>
        <d v="2023-05-08T00:00:00Z"/>
        <d v="2023-04-01T00:00:00Z"/>
        <d v="2023-04-18T00:00:00Z"/>
        <d v="2023-09-11T00:00:00Z"/>
        <d v="2023-09-22T00:00:00Z"/>
        <d v="2023-10-21T00:00:00Z"/>
        <d v="2023-08-15T00:00:00Z"/>
        <d v="2023-04-13T00:00:00Z"/>
        <d v="2023-12-14T00:00:00Z"/>
        <d v="2023-09-03T00:00:00Z"/>
        <d v="2023-10-03T00:00:00Z"/>
        <d v="2023-05-05T00:00:00Z"/>
        <d v="2023-11-27T00:00:00Z"/>
        <d v="2023-11-02T00:00:00Z"/>
        <d v="2023-05-27T00:00:00Z"/>
        <d v="2023-09-18T00:00:00Z"/>
        <d v="2023-09-27T00:00:00Z"/>
        <d v="2023-07-23T00:00:00Z"/>
        <d v="2023-03-03T00:00:00Z"/>
        <d v="2023-10-01T00:00:00Z"/>
        <d v="2023-07-18T00:00:00Z"/>
        <d v="2023-01-25T00:00:00Z"/>
        <d v="2023-04-04T00:00:00Z"/>
        <d v="2023-08-10T00:00:00Z"/>
        <d v="2023-03-08T00:00:00Z"/>
        <d v="2023-06-18T00:00:00Z"/>
        <d v="2023-07-29T00:00:00Z"/>
        <d v="2023-06-17T00:00:00Z"/>
        <d v="2023-09-23T00:00:00Z"/>
        <d v="2023-12-30T00:00:00Z"/>
        <d v="2023-10-10T00:00:00Z"/>
        <d v="2023-10-04T00:00:00Z"/>
        <d v="2023-04-17T00:00:00Z"/>
        <d v="2023-11-19T00:00:00Z"/>
        <d v="2023-02-22T00:00:00Z"/>
        <d v="2023-10-23T00:00:00Z"/>
        <d v="2023-05-16T00:00:00Z"/>
        <d v="2023-02-01T00:00:00Z"/>
        <d v="2023-04-07T00:00:00Z"/>
        <d v="2023-07-16T00:00:00Z"/>
        <d v="2023-11-08T00:00:00Z"/>
        <d v="2023-05-17T00:00:00Z"/>
        <d v="2023-02-14T00:00:00Z"/>
        <d v="2023-11-06T00:00:00Z"/>
        <d v="2023-08-07T00:00:00Z"/>
        <d v="2023-02-08T00:00:00Z"/>
        <d v="2023-02-13T00:00:00Z"/>
        <d v="2023-08-28T00:00:00Z"/>
        <d v="2023-01-09T00:00:00Z"/>
        <d v="2023-05-01T00:00:00Z"/>
        <d v="2023-10-16T00:00:00Z"/>
        <d v="2023-07-24T00:00:00Z"/>
        <d v="2023-01-17T00:00:00Z"/>
        <d v="2023-04-28T00:00:00Z"/>
        <d v="2023-09-06T00:00:00Z"/>
        <d v="2023-11-28T00:00:00Z"/>
        <d v="2023-03-21T00:00:00Z"/>
        <d v="2023-08-09T00:00:00Z"/>
        <d v="2023-02-21T00:00:00Z"/>
        <d v="2023-03-02T00:00:00Z"/>
        <d v="2023-06-03T00:00:00Z"/>
        <d v="2023-02-10T00:00:00Z"/>
        <d v="2023-04-08T00:00:00Z"/>
        <d v="2023-03-28T00:00:00Z"/>
        <d v="2023-07-30T00:00:00Z"/>
        <d v="2023-06-13T00:00:00Z"/>
        <d v="2023-03-26T00:00:00Z"/>
        <d v="2023-04-10T00:00:00Z"/>
        <d v="2023-04-14T00:00:00Z"/>
        <d v="2023-05-02T00:00:00Z"/>
        <d v="2023-02-20T00:00:00Z"/>
        <d v="2023-08-18T00:00:00Z"/>
        <d v="2023-01-20T00:00:00Z"/>
        <d v="2023-10-15T00:00:00Z"/>
        <d v="2023-05-20T00:00:00Z"/>
        <d v="2023-12-02T00:00:00Z"/>
        <d v="2023-05-13T00:00:00Z"/>
        <d v="2023-08-31T00:00:00Z"/>
        <d v="2023-01-26T00:00:00Z"/>
        <d v="2023-03-18T00:00:00Z"/>
        <d v="2023-09-14T00:00:00Z"/>
        <d v="2023-12-19T00:00:00Z"/>
        <d v="2023-08-16T00:00:00Z"/>
        <d v="2023-12-27T00:00:00Z"/>
        <d v="2023-03-25T00:00:00Z"/>
        <d v="2023-05-04T00:00:00Z"/>
        <d v="2023-12-16T00:00:00Z"/>
        <d v="2023-08-04T00:00:00Z"/>
        <d v="2023-10-09T00:00:00Z"/>
        <d v="2023-11-25T00:00:00Z"/>
        <d v="2023-08-20T00:00:00Z"/>
        <d v="2023-11-03T00:00:00Z"/>
        <d v="2023-05-24T00:00:00Z"/>
        <d v="2023-03-17T00:00:00Z"/>
        <d v="2023-10-12T00:00:00Z"/>
        <d v="2023-11-22T00:00:00Z"/>
        <d v="2023-02-27T00:00:00Z"/>
        <d v="2023-01-14T00:00:00Z"/>
        <d v="2023-09-09T00:00:00Z"/>
        <d v="2023-11-14T00:00:00Z"/>
        <d v="2023-03-04T00:00:00Z"/>
        <d v="2023-05-14T00:00:00Z"/>
        <d v="2023-12-05T00:00:00Z"/>
        <d v="2023-10-28T00:00:00Z"/>
        <d v="2023-03-09T00:00:00Z"/>
        <d v="2023-01-24T00:00:00Z"/>
        <d v="2023-01-06T00:00:00Z"/>
        <d v="2023-02-03T00:00:00Z"/>
        <d v="2023-03-05T00:00:00Z"/>
        <d v="2023-07-09T00:00:00Z"/>
        <d v="2023-08-23T00:00:00Z"/>
        <d v="2023-08-26T00:00:00Z"/>
        <d v="2023-09-01T00:00:00Z"/>
        <d v="2023-06-29T00:00:00Z"/>
        <d v="2023-03-15T00:00:00Z"/>
        <d v="2023-11-13T00:00:00Z"/>
        <d v="2023-12-04T00:00:00Z"/>
        <d v="2023-10-29T00:00:00Z"/>
        <d v="2023-07-26T00:00:00Z"/>
        <d v="2023-09-02T00:00:00Z"/>
        <d v="2023-09-28T00:00:00Z"/>
        <d v="2023-09-29T00:00:00Z"/>
        <d v="2023-11-07T00:00:00Z"/>
        <d v="2023-07-19T00:00:00Z"/>
        <d v="2023-01-30T00:00:00Z"/>
        <d v="2023-10-02T00:00:00Z"/>
        <d v="2023-11-24T00:00:00Z"/>
        <d v="2023-07-10T00:00:00Z"/>
        <d v="2023-06-27T00:00:00Z"/>
        <d v="2023-07-12T00:00:00Z"/>
        <d v="2023-07-01T00:00:00Z"/>
        <d v="2023-07-05T00:00:00Z"/>
        <d v="2023-09-20T00:00:00Z"/>
        <d v="2023-08-17T00:00:00Z"/>
        <d v="2023-08-30T00:00:00Z"/>
        <d v="2023-10-08T00:00:00Z"/>
        <d v="2023-01-29T00:00:00Z"/>
        <d v="2023-10-27T00:00:00Z"/>
        <d v="2023-12-20T00:00:00Z"/>
        <d v="2023-12-10T00:00:00Z"/>
        <d v="2023-11-30T00:00:00Z"/>
        <d v="2023-10-14T00:00:00Z"/>
        <d v="2023-03-06T00:00:00Z"/>
        <d v="2023-05-07T00:00:00Z"/>
        <d v="2023-05-09T00:00:00Z"/>
        <d v="2023-12-18T00:00:00Z"/>
        <d v="2023-01-21T00:00:00Z"/>
        <d v="2023-09-15T00:00:00Z"/>
        <d v="2023-08-27T00:00:00Z"/>
        <d v="2023-11-21T00:00:00Z"/>
        <d v="2023-06-20T00:00:00Z"/>
        <d v="2023-12-22T00:00:00Z"/>
        <d v="2023-06-08T00:00:00Z"/>
        <d v="2023-11-05T00:00:00Z"/>
        <d v="2023-01-07T00:00:00Z"/>
        <d v="2023-12-08T00:00:00Z"/>
        <d v="2023-01-15T00:00:00Z"/>
        <d v="2023-04-02T00:00:00Z"/>
        <d v="2023-12-17T00:00:00Z"/>
        <d v="2023-08-24T00:00:00Z"/>
        <d v="2023-02-02T00:00:00Z"/>
        <d v="2023-11-26T00:00:00Z"/>
        <d v="2023-12-24T00:00:00Z"/>
        <d v="2023-12-31T00:00:00Z"/>
        <d v="2023-06-01T00:00:00Z"/>
        <d v="2023-06-12T00:00:00Z"/>
        <d v="2023-03-31T00:00:00Z"/>
        <d v="2023-12-25T00:00:00Z"/>
        <d v="2023-03-13T00:00:00Z"/>
        <d v="2023-06-07T00:00:00Z"/>
        <d v="2023-02-17T00:00:00Z"/>
        <d v="2023-02-26T00:00:00Z"/>
        <d v="2023-05-31T00:00:00Z"/>
        <d v="2023-04-09T00:00:00Z"/>
        <d v="2023-05-03T00:00:00Z"/>
        <d v="2023-06-04T00:00:00Z"/>
        <d v="2023-03-19T00:00:00Z"/>
        <d v="2023-05-06T00:00:00Z"/>
        <d v="2023-03-16T00:00:00Z"/>
        <d v="2023-03-29T00:00:00Z"/>
        <d v="2023-02-25T00:00:00Z"/>
        <d v="2023-03-27T00:00:00Z"/>
        <d v="2023-08-12T00:00:00Z"/>
        <d v="2023-10-07T00:00:00Z"/>
        <d v="2023-07-17T00:00:00Z"/>
        <d v="2023-06-23T00:00:00Z"/>
        <d v="2023-05-11T00:00:00Z"/>
        <d v="2023-05-30T00:00:00Z"/>
        <d v="2023-12-03T00:00:00Z"/>
        <d v="2023-02-19T00:00:00Z"/>
        <d v="2023-11-16T00:00:00Z"/>
        <d v="2023-10-22T00:00:00Z"/>
        <d v="2023-02-06T00:00:00Z"/>
        <d v="2023-04-16T00:00:00Z"/>
        <d v="2023-04-29T00:00:00Z"/>
        <d v="2023-10-30T00:00:00Z"/>
        <d v="2023-12-11T00:00:00Z"/>
        <d v="2023-02-11T00:00:00Z"/>
        <d v="2023-10-26T00:00:00Z"/>
        <d v="2023-10-05T00:00:00Z"/>
        <d v="2023-12-12T00:00:00Z"/>
        <d v="2023-03-20T00:00:00Z"/>
        <d v="2023-07-27T00:00:00Z"/>
        <d v="2023-06-25T00:00:00Z"/>
        <d v="2023-05-21T00:00:00Z"/>
        <d v="2023-02-07T00:00:00Z"/>
        <d v="2023-07-20T00:00:00Z"/>
        <d v="2023-02-24T00:00:00Z"/>
        <d v="2023-04-20T00:00:00Z"/>
        <d v="2023-12-28T00:00:00Z"/>
        <d v="2023-03-12T00:00:00Z"/>
        <d v="2023-07-31T00:00:00Z"/>
        <d v="2023-11-18T00:00:00Z"/>
        <d v="2023-10-17T00:00:00Z"/>
        <d v="2023-05-12T00:00:00Z"/>
        <d v="2023-12-09T00:00:00Z"/>
        <d v="2023-06-28T00:00:00Z"/>
        <d v="2023-01-04T00:00:00Z"/>
        <d v="2023-01-31T00:00:00Z"/>
        <d v="2023-05-18T00:00:00Z"/>
        <d v="2023-09-25T00:00:00Z"/>
        <d v="2023-11-10T00:00:00Z"/>
        <d v="2023-11-15T00:00:00Z"/>
        <d v="2023-07-04T00:00:00Z"/>
        <d v="2023-07-14T00:00:00Z"/>
        <d v="2023-04-03T00:00:00Z"/>
        <d v="2023-04-11T00:00:00Z"/>
        <d v="2023-07-11T00:00:00Z"/>
        <d v="2023-02-05T00:00:00Z"/>
        <d v="2023-07-28T00:00:00Z"/>
        <d v="2023-07-22T00:00:00Z"/>
        <d v="2023-08-13T00:00:00Z"/>
        <d v="2023-01-28T00:00:00Z"/>
        <d v="2023-06-26T00:00:00Z"/>
        <d v="2023-11-04T00:00:00Z"/>
        <d v="2023-11-12T00:00:00Z"/>
        <d v="2023-01-18T00:00:00Z"/>
        <d v="2023-03-23T00:00:00Z"/>
        <d v="2023-09-17T00:00:00Z"/>
        <d v="2023-08-21T00:00:00Z"/>
        <d v="2023-05-15T00:00:00Z"/>
        <d v="2023-11-17T00:00:00Z"/>
        <d v="2023-01-05T00:00:00Z"/>
        <d v="2023-11-09T00:00:00Z"/>
        <d v="2023-08-22T00:00:00Z"/>
        <d v="2023-01-11T00:00:00Z"/>
        <d v="2023-08-19T00:00:00Z"/>
      </sharedItems>
    </cacheField>
    <cacheField name="enroll_date(MM-YYYY)" numFmtId="165">
      <sharedItems>
        <s v="07.2023"/>
        <s v="06.2023"/>
        <s v="04.2023"/>
        <s v="02.2023"/>
        <s v="12.2023"/>
        <s v="05.2023"/>
        <s v="01.2023"/>
        <s v="10.2023"/>
        <s v="09.2023"/>
        <s v="08.2023"/>
        <s v="11.2023"/>
        <s v="03.2023"/>
      </sharedItems>
    </cacheField>
    <cacheField name="completion_date" numFmtId="165">
      <sharedItems containsSemiMixedTypes="0" containsDate="1" containsString="0">
        <d v="2023-07-20T00:00:00Z"/>
        <d v="2023-06-14T00:00:00Z"/>
        <d v="2023-04-24T00:00:00Z"/>
        <d v="2023-04-27T00:00:00Z"/>
        <d v="2023-07-12T00:00:00Z"/>
        <d v="2023-03-07T00:00:00Z"/>
        <d v="2024-01-02T00:00:00Z"/>
        <d v="2023-06-23T00:00:00Z"/>
        <d v="2023-06-03T00:00:00Z"/>
        <d v="2023-01-25T00:00:00Z"/>
        <d v="2023-08-02T00:00:00Z"/>
        <d v="2023-10-25T00:00:00Z"/>
        <d v="2023-10-08T00:00:00Z"/>
        <d v="2023-07-15T00:00:00Z"/>
        <d v="2023-03-02T00:00:00Z"/>
        <d v="2023-09-16T00:00:00Z"/>
        <d v="2023-10-31T00:00:00Z"/>
        <d v="2023-02-16T00:00:00Z"/>
        <d v="2023-03-12T00:00:00Z"/>
        <d v="2023-05-22T00:00:00Z"/>
        <d v="2023-06-07T00:00:00Z"/>
        <d v="2023-07-03T00:00:00Z"/>
        <d v="2023-09-10T00:00:00Z"/>
        <d v="2023-01-22T00:00:00Z"/>
        <d v="2023-09-19T00:00:00Z"/>
        <d v="2023-06-06T00:00:00Z"/>
        <d v="2023-12-02T00:00:00Z"/>
        <d v="2023-07-01T00:00:00Z"/>
        <d v="2023-11-12T00:00:00Z"/>
        <d v="2023-08-13T00:00:00Z"/>
        <d v="2023-04-11T00:00:00Z"/>
        <d v="2023-08-26T00:00:00Z"/>
        <d v="2023-11-23T00:00:00Z"/>
        <d v="2023-08-14T00:00:00Z"/>
        <d v="2023-11-01T00:00:00Z"/>
        <d v="2023-09-06T00:00:00Z"/>
        <d v="2023-02-08T00:00:00Z"/>
        <d v="2023-01-15T00:00:00Z"/>
        <d v="2023-09-20T00:00:00Z"/>
        <d v="2023-10-18T00:00:00Z"/>
        <d v="2023-02-28T00:00:00Z"/>
        <d v="2023-12-18T00:00:00Z"/>
        <d v="2023-01-31T00:00:00Z"/>
        <d v="2023-04-18T00:00:00Z"/>
        <d v="2023-07-27T00:00:00Z"/>
        <d v="2023-01-13T00:00:00Z"/>
        <d v="2023-06-17T00:00:00Z"/>
        <d v="2023-08-15T00:00:00Z"/>
        <d v="2023-09-22T00:00:00Z"/>
        <d v="2023-01-24T00:00:00Z"/>
        <d v="2023-05-05T00:00:00Z"/>
        <d v="2023-08-17T00:00:00Z"/>
        <d v="2023-06-18T00:00:00Z"/>
        <d v="2023-11-05T00:00:00Z"/>
        <d v="2023-09-28T00:00:00Z"/>
        <d v="2023-03-13T00:00:00Z"/>
        <d v="2023-10-06T00:00:00Z"/>
        <d v="2023-05-20T00:00:00Z"/>
        <d v="2023-04-13T00:00:00Z"/>
        <d v="2023-04-30T00:00:00Z"/>
        <d v="2023-09-23T00:00:00Z"/>
        <d v="2023-10-04T00:00:00Z"/>
        <d v="2023-11-02T00:00:00Z"/>
        <d v="2023-08-27T00:00:00Z"/>
        <d v="2023-04-25T00:00:00Z"/>
        <d v="2023-12-26T00:00:00Z"/>
        <d v="2023-09-15T00:00:00Z"/>
        <d v="2023-10-15T00:00:00Z"/>
        <d v="2023-05-17T00:00:00Z"/>
        <d v="2023-12-09T00:00:00Z"/>
        <d v="2023-11-14T00:00:00Z"/>
        <d v="2023-06-08T00:00:00Z"/>
        <d v="2023-09-30T00:00:00Z"/>
        <d v="2023-10-09T00:00:00Z"/>
        <d v="2023-08-04T00:00:00Z"/>
        <d v="2023-03-15T00:00:00Z"/>
        <d v="2023-10-13T00:00:00Z"/>
        <d v="2023-07-30T00:00:00Z"/>
        <d v="2023-02-06T00:00:00Z"/>
        <d v="2023-04-16T00:00:00Z"/>
        <d v="2023-08-22T00:00:00Z"/>
        <d v="2023-03-20T00:00:00Z"/>
        <d v="2023-06-30T00:00:00Z"/>
        <d v="2023-08-10T00:00:00Z"/>
        <d v="2023-06-29T00:00:00Z"/>
        <d v="2023-10-05T00:00:00Z"/>
        <d v="2024-01-11T00:00:00Z"/>
        <d v="2023-10-22T00:00:00Z"/>
        <d v="2023-10-16T00:00:00Z"/>
        <d v="2023-04-29T00:00:00Z"/>
        <d v="2023-12-01T00:00:00Z"/>
        <d v="2023-03-06T00:00:00Z"/>
        <d v="2023-11-04T00:00:00Z"/>
        <d v="2023-05-28T00:00:00Z"/>
        <d v="2023-02-13T00:00:00Z"/>
        <d v="2023-04-19T00:00:00Z"/>
        <d v="2023-07-28T00:00:00Z"/>
        <d v="2023-11-20T00:00:00Z"/>
        <d v="2023-05-29T00:00:00Z"/>
        <d v="2023-02-26T00:00:00Z"/>
        <d v="2023-11-18T00:00:00Z"/>
        <d v="2023-08-19T00:00:00Z"/>
        <d v="2023-02-20T00:00:00Z"/>
        <d v="2023-02-25T00:00:00Z"/>
        <d v="2023-09-09T00:00:00Z"/>
        <d v="2023-01-21T00:00:00Z"/>
        <d v="2023-05-13T00:00:00Z"/>
        <d v="2023-10-28T00:00:00Z"/>
        <d v="2023-08-05T00:00:00Z"/>
        <d v="2023-01-29T00:00:00Z"/>
        <d v="2023-05-10T00:00:00Z"/>
        <d v="2023-09-18T00:00:00Z"/>
        <d v="2023-12-10T00:00:00Z"/>
        <d v="2023-04-02T00:00:00Z"/>
        <d v="2023-08-21T00:00:00Z"/>
        <d v="2023-03-05T00:00:00Z"/>
        <d v="2023-03-14T00:00:00Z"/>
        <d v="2023-06-15T00:00:00Z"/>
        <d v="2023-02-22T00:00:00Z"/>
        <d v="2023-04-20T00:00:00Z"/>
        <d v="2023-04-09T00:00:00Z"/>
        <d v="2023-08-11T00:00:00Z"/>
        <d v="2023-06-25T00:00:00Z"/>
        <d v="2023-04-07T00:00:00Z"/>
        <d v="2023-04-22T00:00:00Z"/>
        <d v="2023-04-26T00:00:00Z"/>
        <d v="2023-05-14T00:00:00Z"/>
        <d v="2023-03-04T00:00:00Z"/>
        <d v="2023-08-30T00:00:00Z"/>
        <d v="2023-02-01T00:00:00Z"/>
        <d v="2023-10-27T00:00:00Z"/>
        <d v="2023-06-01T00:00:00Z"/>
        <d v="2023-12-14T00:00:00Z"/>
        <d v="2023-05-25T00:00:00Z"/>
        <d v="2023-09-12T00:00:00Z"/>
        <d v="2023-02-07T00:00:00Z"/>
        <d v="2023-03-30T00:00:00Z"/>
        <d v="2023-09-26T00:00:00Z"/>
        <d v="2023-12-31T00:00:00Z"/>
        <d v="2023-08-28T00:00:00Z"/>
        <d v="2024-01-08T00:00:00Z"/>
        <d v="2023-04-06T00:00:00Z"/>
        <d v="2023-05-16T00:00:00Z"/>
        <d v="2023-12-28T00:00:00Z"/>
        <d v="2023-08-16T00:00:00Z"/>
        <d v="2023-10-21T00:00:00Z"/>
        <d v="2023-12-07T00:00:00Z"/>
        <d v="2023-09-01T00:00:00Z"/>
        <d v="2023-11-15T00:00:00Z"/>
        <d v="2023-06-05T00:00:00Z"/>
        <d v="2023-03-29T00:00:00Z"/>
        <d v="2023-10-24T00:00:00Z"/>
        <d v="2023-12-04T00:00:00Z"/>
        <d v="2023-03-11T00:00:00Z"/>
        <d v="2023-01-26T00:00:00Z"/>
        <d v="2023-09-21T00:00:00Z"/>
        <d v="2023-11-26T00:00:00Z"/>
        <d v="2023-03-16T00:00:00Z"/>
        <d v="2023-05-26T00:00:00Z"/>
        <d v="2023-12-17T00:00:00Z"/>
        <d v="2023-11-09T00:00:00Z"/>
        <d v="2023-03-21T00:00:00Z"/>
        <d v="2023-02-05T00:00:00Z"/>
        <d v="2023-01-18T00:00:00Z"/>
        <d v="2023-02-15T00:00:00Z"/>
        <d v="2023-03-17T00:00:00Z"/>
        <d v="2023-07-21T00:00:00Z"/>
        <d v="2023-09-04T00:00:00Z"/>
        <d v="2023-09-07T00:00:00Z"/>
        <d v="2023-09-13T00:00:00Z"/>
        <d v="2023-07-11T00:00:00Z"/>
        <d v="2023-03-27T00:00:00Z"/>
        <d v="2023-11-25T00:00:00Z"/>
        <d v="2023-12-16T00:00:00Z"/>
        <d v="2023-11-10T00:00:00Z"/>
        <d v="2023-08-07T00:00:00Z"/>
        <d v="2023-09-14T00:00:00Z"/>
        <d v="2023-10-10T00:00:00Z"/>
        <d v="2023-10-11T00:00:00Z"/>
        <d v="2023-11-19T00:00:00Z"/>
        <d v="2023-07-31T00:00:00Z"/>
        <d v="2023-02-11T00:00:00Z"/>
        <d v="2023-10-14T00:00:00Z"/>
        <d v="2023-12-06T00:00:00Z"/>
        <d v="2023-07-22T00:00:00Z"/>
        <d v="2023-07-09T00:00:00Z"/>
        <d v="2023-07-24T00:00:00Z"/>
        <d v="2023-07-13T00:00:00Z"/>
        <d v="2023-07-17T00:00:00Z"/>
        <d v="2023-10-02T00:00:00Z"/>
        <d v="2023-08-29T00:00:00Z"/>
        <d v="2023-09-11T00:00:00Z"/>
        <d v="2023-10-20T00:00:00Z"/>
        <d v="2023-02-10T00:00:00Z"/>
        <d v="2023-11-08T00:00:00Z"/>
        <d v="2024-01-01T00:00:00Z"/>
        <d v="2023-12-22T00:00:00Z"/>
        <d v="2023-12-12T00:00:00Z"/>
        <d v="2023-10-26T00:00:00Z"/>
        <d v="2023-03-18T00:00:00Z"/>
        <d v="2023-05-19T00:00:00Z"/>
        <d v="2023-05-21T00:00:00Z"/>
        <d v="2023-12-30T00:00:00Z"/>
        <d v="2023-02-02T00:00:00Z"/>
        <d v="2023-09-27T00:00:00Z"/>
        <d v="2023-09-08T00:00:00Z"/>
        <d v="2023-12-03T00:00:00Z"/>
        <d v="2023-07-02T00:00:00Z"/>
        <d v="2024-01-03T00:00:00Z"/>
        <d v="2023-06-20T00:00:00Z"/>
        <d v="2023-11-17T00:00:00Z"/>
        <d v="2023-01-19T00:00:00Z"/>
        <d v="2023-12-20T00:00:00Z"/>
        <d v="2023-01-27T00:00:00Z"/>
        <d v="2023-04-14T00:00:00Z"/>
        <d v="2023-12-29T00:00:00Z"/>
        <d v="2023-09-05T00:00:00Z"/>
        <d v="2023-02-14T00:00:00Z"/>
        <d v="2023-12-08T00:00:00Z"/>
        <d v="2024-01-05T00:00:00Z"/>
        <d v="2024-01-12T00:00:00Z"/>
        <d v="2023-06-13T00:00:00Z"/>
        <d v="2023-06-24T00:00:00Z"/>
        <d v="2023-04-12T00:00:00Z"/>
        <d v="2024-01-06T00:00:00Z"/>
        <d v="2023-03-25T00:00:00Z"/>
        <d v="2023-06-19T00:00:00Z"/>
        <d v="2023-03-01T00:00:00Z"/>
        <d v="2023-03-10T00:00:00Z"/>
        <d v="2023-06-12T00:00:00Z"/>
        <d v="2023-04-21T00:00:00Z"/>
        <d v="2023-05-15T00:00:00Z"/>
        <d v="2023-06-16T00:00:00Z"/>
        <d v="2023-03-31T00:00:00Z"/>
        <d v="2023-05-18T00:00:00Z"/>
        <d v="2023-03-28T00:00:00Z"/>
        <d v="2023-04-10T00:00:00Z"/>
        <d v="2023-03-09T00:00:00Z"/>
        <d v="2023-04-08T00:00:00Z"/>
        <d v="2023-08-24T00:00:00Z"/>
        <d v="2023-10-19T00:00:00Z"/>
        <d v="2023-07-29T00:00:00Z"/>
        <d v="2023-07-05T00:00:00Z"/>
        <d v="2023-05-23T00:00:00Z"/>
        <d v="2023-06-11T00:00:00Z"/>
        <d v="2023-12-15T00:00:00Z"/>
        <d v="2023-03-03T00:00:00Z"/>
        <d v="2023-11-28T00:00:00Z"/>
        <d v="2023-11-03T00:00:00Z"/>
        <d v="2023-02-18T00:00:00Z"/>
        <d v="2023-04-28T00:00:00Z"/>
        <d v="2023-05-11T00:00:00Z"/>
        <d v="2023-11-11T00:00:00Z"/>
        <d v="2023-12-23T00:00:00Z"/>
        <d v="2023-02-23T00:00:00Z"/>
        <d v="2023-11-07T00:00:00Z"/>
        <d v="2023-10-17T00:00:00Z"/>
        <d v="2023-12-24T00:00:00Z"/>
        <d v="2023-04-01T00:00:00Z"/>
        <d v="2023-08-08T00:00:00Z"/>
        <d v="2023-07-07T00:00:00Z"/>
        <d v="2023-06-02T00:00:00Z"/>
        <d v="2023-02-19T00:00:00Z"/>
        <d v="2023-08-01T00:00:00Z"/>
        <d v="2023-03-08T00:00:00Z"/>
        <d v="2023-05-02T00:00:00Z"/>
        <d v="2024-01-09T00:00:00Z"/>
        <d v="2023-03-24T00:00:00Z"/>
        <d v="2023-08-12T00:00:00Z"/>
        <d v="2023-11-30T00:00:00Z"/>
        <d v="2023-10-29T00:00:00Z"/>
        <d v="2023-05-24T00:00:00Z"/>
        <d v="2023-12-21T00:00:00Z"/>
        <d v="2023-07-10T00:00:00Z"/>
        <d v="2023-01-16T00:00:00Z"/>
        <d v="2023-02-12T00:00:00Z"/>
        <d v="2023-05-30T00:00:00Z"/>
        <d v="2023-10-07T00:00:00Z"/>
        <d v="2023-11-22T00:00:00Z"/>
        <d v="2023-11-27T00:00:00Z"/>
        <d v="2023-07-16T00:00:00Z"/>
        <d v="2023-07-26T00:00:00Z"/>
        <d v="2023-04-15T00:00:00Z"/>
        <d v="2023-04-23T00:00:00Z"/>
        <d v="2023-07-23T00:00:00Z"/>
        <d v="2023-02-17T00:00:00Z"/>
        <d v="2023-08-09T00:00:00Z"/>
        <d v="2023-08-03T00:00:00Z"/>
        <d v="2023-08-25T00:00:00Z"/>
        <d v="2023-02-09T00:00:00Z"/>
        <d v="2023-07-08T00:00:00Z"/>
        <d v="2023-11-16T00:00:00Z"/>
        <d v="2023-11-24T00:00:00Z"/>
        <d v="2023-01-30T00:00:00Z"/>
        <d v="2023-04-04T00:00:00Z"/>
        <d v="2023-09-29T00:00:00Z"/>
        <d v="2023-09-02T00:00:00Z"/>
        <d v="2023-05-27T00:00:00Z"/>
        <d v="2023-11-29T00:00:00Z"/>
        <d v="2023-01-17T00:00:00Z"/>
        <d v="2023-11-21T00:00:00Z"/>
        <d v="2023-09-03T00:00:00Z"/>
        <d v="2023-01-23T00:00:00Z"/>
        <d v="2023-08-31T00:00:00Z"/>
      </sharedItems>
    </cacheField>
    <cacheField name="course_category" numFmtId="49">
      <sharedItems>
        <s v="Design"/>
        <s v="Business"/>
        <s v="Data Science"/>
        <s v="Marketing"/>
      </sharedItems>
    </cacheField>
    <cacheField name="course_rating" numFmtId="166">
      <sharedItems containsSemiMixedTypes="0" containsString="0" containsNumber="1">
        <n v="0.2"/>
        <n v="2.0"/>
        <n v="0.3"/>
        <n v="3.3"/>
        <n v="0.6"/>
        <n v="3.0"/>
        <n v="3.6"/>
        <n v="0.5"/>
        <n v="4.7"/>
        <n v="4.4"/>
        <n v="2.6"/>
        <n v="0.8"/>
        <n v="0.1"/>
        <n v="4.5"/>
        <n v="3.5"/>
        <n v="4.6"/>
        <n v="1.8"/>
        <n v="0.0"/>
        <n v="2.2"/>
        <n v="1.7"/>
        <n v="3.1"/>
        <n v="2.7"/>
        <n v="4.0"/>
        <n v="3.7"/>
        <n v="2.9"/>
        <n v="1.0"/>
        <n v="1.4"/>
        <n v="1.2"/>
        <n v="4.3"/>
        <n v="2.1"/>
        <n v="3.4"/>
        <n v="1.9"/>
        <n v="2.3"/>
        <n v="0.4"/>
        <n v="4.2"/>
        <n v="0.7"/>
        <n v="1.5"/>
        <n v="4.8"/>
        <n v="1.1"/>
        <n v="0.9"/>
        <n v="2.5"/>
        <n v="1.6"/>
        <n v="3.9"/>
        <n v="2.8"/>
        <n v="3.8"/>
        <n v="4.1"/>
        <n v="4.9"/>
        <n v="3.2"/>
        <n v="5.0"/>
        <n v="2.4"/>
        <n v="1.3"/>
      </sharedItems>
    </cacheField>
    <cacheField name="progress_percent" numFmtId="3">
      <sharedItems containsSemiMixedTypes="0" containsString="0" containsNumber="1" containsInteger="1">
        <n v="14.0"/>
        <n v="32.0"/>
        <n v="16.0"/>
        <n v="78.0"/>
        <n v="36.0"/>
        <n v="81.0"/>
        <n v="57.0"/>
        <n v="11.0"/>
        <n v="76.0"/>
        <n v="49.0"/>
        <n v="5.0"/>
        <n v="2.0"/>
        <n v="8.0"/>
        <n v="27.0"/>
        <n v="48.0"/>
        <n v="15.0"/>
        <n v="71.0"/>
        <n v="28.0"/>
        <n v="66.0"/>
        <n v="51.0"/>
        <n v="47.0"/>
        <n v="26.0"/>
        <n v="60.0"/>
        <n v="40.0"/>
        <n v="56.0"/>
        <n v="69.0"/>
        <n v="63.0"/>
        <n v="82.0"/>
        <n v="44.0"/>
        <n v="23.0"/>
        <n v="4.0"/>
        <n v="59.0"/>
        <n v="77.0"/>
        <n v="17.0"/>
        <n v="91.0"/>
        <n v="7.0"/>
        <n v="50.0"/>
        <n v="10.0"/>
        <n v="24.0"/>
        <n v="1.0"/>
        <n v="68.0"/>
        <n v="41.0"/>
        <n v="87.0"/>
        <n v="29.0"/>
        <n v="74.0"/>
        <n v="12.0"/>
        <n v="95.0"/>
        <n v="85.0"/>
        <n v="98.0"/>
        <n v="92.0"/>
        <n v="46.0"/>
        <n v="38.0"/>
        <n v="6.0"/>
        <n v="58.0"/>
        <n v="80.0"/>
        <n v="30.0"/>
        <n v="20.0"/>
        <n v="84.0"/>
        <n v="45.0"/>
        <n v="90.0"/>
        <n v="9.0"/>
        <n v="67.0"/>
        <n v="22.0"/>
        <n v="83.0"/>
        <n v="53.0"/>
        <n v="18.0"/>
        <n v="88.0"/>
        <n v="42.0"/>
        <n v="33.0"/>
        <n v="99.0"/>
        <n v="19.0"/>
        <n v="100.0"/>
        <n v="79.0"/>
        <n v="52.0"/>
        <n v="39.0"/>
        <n v="65.0"/>
        <n v="31.0"/>
        <n v="35.0"/>
        <n v="94.0"/>
        <n v="21.0"/>
        <n v="54.0"/>
        <n v="97.0"/>
        <n v="72.0"/>
        <n v="55.0"/>
        <n v="64.0"/>
        <n v="43.0"/>
        <n v="61.0"/>
        <n v="96.0"/>
        <n v="13.0"/>
        <n v="75.0"/>
        <n v="3.0"/>
        <n v="34.0"/>
        <n v="89.0"/>
        <n v="25.0"/>
        <n v="73.0"/>
        <n v="37.0"/>
        <n v="86.0"/>
        <n v="70.0"/>
        <n v="62.0"/>
        <n v="93.0"/>
        <n v="0.0"/>
      </sharedItems>
    </cacheField>
    <cacheField name="completed" numFmtId="3">
      <sharedItems containsSemiMixedTypes="0" containsString="0" containsNumber="1" containsInteger="1">
        <n v="0.0"/>
        <n v="1.0"/>
      </sharedItems>
    </cacheField>
    <cacheField name="hours_spent" numFmtId="3">
      <sharedItems containsSemiMixedTypes="0" containsString="0" containsNumber="1" containsInteger="1">
        <n v="30.0"/>
        <n v="48.0"/>
        <n v="34.0"/>
        <n v="39.0"/>
        <n v="40.0"/>
        <n v="44.0"/>
        <n v="25.0"/>
        <n v="43.0"/>
        <n v="17.0"/>
        <n v="31.0"/>
        <n v="35.0"/>
        <n v="36.0"/>
        <n v="15.0"/>
        <n v="46.0"/>
        <n v="13.0"/>
        <n v="21.0"/>
        <n v="14.0"/>
        <n v="56.0"/>
        <n v="37.0"/>
        <n v="33.0"/>
        <n v="53.0"/>
        <n v="26.0"/>
        <n v="51.0"/>
        <n v="28.0"/>
        <n v="50.0"/>
        <n v="19.0"/>
        <n v="45.0"/>
        <n v="23.0"/>
        <n v="49.0"/>
        <n v="41.0"/>
        <n v="29.0"/>
        <n v="12.0"/>
        <n v="24.0"/>
        <n v="22.0"/>
        <n v="27.0"/>
        <n v="52.0"/>
        <n v="18.0"/>
        <n v="54.0"/>
        <n v="32.0"/>
        <n v="38.0"/>
        <n v="20.0"/>
        <n v="47.0"/>
        <n v="55.0"/>
        <n v="16.0"/>
        <n v="42.0"/>
      </sharedItems>
    </cacheField>
    <cacheField name="country" numFmtId="49">
      <sharedItems>
        <s v="Germany"/>
        <s v="UK"/>
        <s v="France"/>
        <s v="USA"/>
        <s v="India"/>
      </sharedItems>
    </cacheField>
    <cacheField name="device" numFmtId="49">
      <sharedItems>
        <s v="Tablet"/>
        <s v="Mobile"/>
        <s v="Desktop"/>
      </sharedItems>
    </cacheField>
    <cacheField name="retained_after_30d" numFmtId="3">
      <sharedItems containsSemiMixedTypes="0" containsString="0" containsNumber="1" containsInteger="1">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DA" cacheId="0" dataCaption="" compact="0" compactData="0">
  <location ref="Q2:S7" firstHeaderRow="0" firstDataRow="2" firstDataCol="0"/>
  <pivotFields>
    <pivotField name="student_id"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course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enroll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enroll_date(MM-YYYY)" compact="0" numFmtId="165" outline="0" multipleItemSelectionAllowed="1" showAll="0">
      <items>
        <item x="0"/>
        <item x="1"/>
        <item x="2"/>
        <item x="3"/>
        <item x="4"/>
        <item x="5"/>
        <item x="6"/>
        <item x="7"/>
        <item x="8"/>
        <item x="9"/>
        <item x="10"/>
        <item x="11"/>
        <item t="default"/>
      </items>
    </pivotField>
    <pivotField name="completion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course_category" axis="axisRow" compact="0" numFmtId="49" outline="0" multipleItemSelectionAllowed="1" showAll="0" sortType="ascending">
      <items>
        <item x="1"/>
        <item x="2"/>
        <item x="0"/>
        <item x="3"/>
        <item t="default"/>
      </items>
    </pivotField>
    <pivotField name="course_rating"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ompleted" dataField="1" compact="0" numFmtId="3" outline="0" multipleItemSelectionAllowed="1" showAll="0">
      <items>
        <item x="0"/>
        <item x="1"/>
        <item t="default"/>
      </items>
    </pivotField>
    <pivotField name="hours_spe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 compact="0" numFmtId="49" outline="0" multipleItemSelectionAllowed="1" showAll="0">
      <items>
        <item x="0"/>
        <item x="1"/>
        <item x="2"/>
        <item x="3"/>
        <item x="4"/>
        <item t="default"/>
      </items>
    </pivotField>
    <pivotField name="device" compact="0" numFmtId="49" outline="0" multipleItemSelectionAllowed="1" showAll="0">
      <items>
        <item x="0"/>
        <item x="1"/>
        <item x="2"/>
        <item t="default"/>
      </items>
    </pivotField>
    <pivotField name="retained_after_30d" compact="0" numFmtId="3" outline="0" multipleItemSelectionAllowed="1" showAll="0">
      <items>
        <item x="0"/>
        <item x="1"/>
        <item t="default"/>
      </items>
    </pivotField>
  </pivotFields>
  <rowFields>
    <field x="5"/>
  </rowFields>
  <colFields>
    <field x="-2"/>
  </colFields>
  <dataFields>
    <dataField name="COUNTA of student_id" fld="0" subtotal="count" baseField="0"/>
    <dataField name="SUM of completed" fld="8" baseField="0"/>
  </dataFields>
</pivotTableDefinition>
</file>

<file path=xl/pivotTables/pivotTable2.xml><?xml version="1.0" encoding="utf-8"?>
<pivotTableDefinition xmlns="http://schemas.openxmlformats.org/spreadsheetml/2006/main" name="EDA 2" cacheId="0" dataCaption="" compact="0" compactData="0">
  <location ref="AJ2:AN7" firstHeaderRow="0" firstDataRow="2" firstDataCol="0"/>
  <pivotFields>
    <pivotField name="student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course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enroll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enroll_date(MM-YYYY)" compact="0" numFmtId="165" outline="0" multipleItemSelectionAllowed="1" showAll="0">
      <items>
        <item x="0"/>
        <item x="1"/>
        <item x="2"/>
        <item x="3"/>
        <item x="4"/>
        <item x="5"/>
        <item x="6"/>
        <item x="7"/>
        <item x="8"/>
        <item x="9"/>
        <item x="10"/>
        <item x="11"/>
        <item t="default"/>
      </items>
    </pivotField>
    <pivotField name="completion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course_category" axis="axisRow" compact="0" numFmtId="49" outline="0" multipleItemSelectionAllowed="1" showAll="0" sortType="ascending">
      <items>
        <item x="1"/>
        <item x="2"/>
        <item x="0"/>
        <item x="3"/>
        <item t="default"/>
      </items>
    </pivotField>
    <pivotField name="course_rating"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ompleted" compact="0" numFmtId="3" outline="0" multipleItemSelectionAllowed="1" showAll="0">
      <items>
        <item x="0"/>
        <item x="1"/>
        <item t="default"/>
      </items>
    </pivotField>
    <pivotField name="hours_spent"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 compact="0" numFmtId="49" outline="0" multipleItemSelectionAllowed="1" showAll="0">
      <items>
        <item x="0"/>
        <item x="1"/>
        <item x="2"/>
        <item x="3"/>
        <item x="4"/>
        <item t="default"/>
      </items>
    </pivotField>
    <pivotField name="device" compact="0" numFmtId="49" outline="0" multipleItemSelectionAllowed="1" showAll="0">
      <items>
        <item x="0"/>
        <item x="1"/>
        <item x="2"/>
        <item t="default"/>
      </items>
    </pivotField>
    <pivotField name="retained_after_30d" dataField="1" compact="0" numFmtId="3" outline="0" multipleItemSelectionAllowed="1" showAll="0">
      <items>
        <item x="0"/>
        <item x="1"/>
        <item t="default"/>
      </items>
    </pivotField>
  </pivotFields>
  <rowFields>
    <field x="5"/>
  </rowFields>
  <colFields>
    <field x="-2"/>
  </colFields>
  <dataFields>
    <dataField name="AVERAGE of hours_spent" fld="9" subtotal="average" baseField="0"/>
    <dataField name="AVERAGE of course_rating" fld="6" subtotal="average" baseField="0"/>
    <dataField name="AVERAGE of progress_percent" fld="7" subtotal="average" baseField="0"/>
    <dataField name="SUM of retained_after_30d" fld="12" baseField="0"/>
  </dataFields>
</pivotTableDefinition>
</file>

<file path=xl/pivotTables/pivotTable3.xml><?xml version="1.0" encoding="utf-8"?>
<pivotTableDefinition xmlns="http://schemas.openxmlformats.org/spreadsheetml/2006/main" name="EDA 3" cacheId="0" dataCaption="" compact="0" compactData="0">
  <location ref="AR2:AS7" firstHeaderRow="0" firstDataRow="1" firstDataCol="0"/>
  <pivotFields>
    <pivotField name="student_id"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course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enroll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enroll_date(MM-YYYY)" compact="0" numFmtId="165" outline="0" multipleItemSelectionAllowed="1" showAll="0">
      <items>
        <item x="0"/>
        <item x="1"/>
        <item x="2"/>
        <item x="3"/>
        <item x="4"/>
        <item x="5"/>
        <item x="6"/>
        <item x="7"/>
        <item x="8"/>
        <item x="9"/>
        <item x="10"/>
        <item x="11"/>
        <item t="default"/>
      </items>
    </pivotField>
    <pivotField name="completion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course_category" axis="axisRow" compact="0" numFmtId="49" outline="0" multipleItemSelectionAllowed="1" showAll="0" sortType="ascending">
      <items>
        <item x="1"/>
        <item x="2"/>
        <item x="0"/>
        <item x="3"/>
        <item t="default"/>
      </items>
    </pivotField>
    <pivotField name="course_rating"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ompleted" compact="0" numFmtId="3" outline="0" multipleItemSelectionAllowed="1" showAll="0">
      <items>
        <item x="0"/>
        <item x="1"/>
        <item t="default"/>
      </items>
    </pivotField>
    <pivotField name="hours_spe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 compact="0" numFmtId="49" outline="0" multipleItemSelectionAllowed="1" showAll="0">
      <items>
        <item x="0"/>
        <item x="1"/>
        <item x="2"/>
        <item x="3"/>
        <item x="4"/>
        <item t="default"/>
      </items>
    </pivotField>
    <pivotField name="device" compact="0" numFmtId="49" outline="0" multipleItemSelectionAllowed="1" showAll="0">
      <items>
        <item x="0"/>
        <item x="1"/>
        <item x="2"/>
        <item t="default"/>
      </items>
    </pivotField>
    <pivotField name="retained_after_30d" compact="0" numFmtId="3" outline="0" multipleItemSelectionAllowed="1" showAll="0">
      <items>
        <item x="0"/>
        <item x="1"/>
        <item t="default"/>
      </items>
    </pivotField>
  </pivotFields>
  <rowFields>
    <field x="5"/>
  </rowFields>
  <dataFields>
    <dataField name="COUNTA of student_id" fld="0" subtotal="count" baseField="0"/>
  </dataFields>
</pivotTableDefinition>
</file>

<file path=xl/pivotTables/pivotTable4.xml><?xml version="1.0" encoding="utf-8"?>
<pivotTableDefinition xmlns="http://schemas.openxmlformats.org/spreadsheetml/2006/main" name="EDA 4" cacheId="0" dataCaption="" compact="0" compactData="0">
  <location ref="AJ16:AN21" firstHeaderRow="0" firstDataRow="2" firstDataCol="0" rowPageCount="1" colPageCount="1"/>
  <pivotFields>
    <pivotField name="student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course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enroll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enroll_date(MM-YYYY)" compact="0" numFmtId="165" outline="0" multipleItemSelectionAllowed="1" showAll="0">
      <items>
        <item x="0"/>
        <item x="1"/>
        <item x="2"/>
        <item x="3"/>
        <item x="4"/>
        <item x="5"/>
        <item x="6"/>
        <item x="7"/>
        <item x="8"/>
        <item x="9"/>
        <item x="10"/>
        <item x="11"/>
        <item t="default"/>
      </items>
    </pivotField>
    <pivotField name="completion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course_category" axis="axisRow" compact="0" numFmtId="49" outline="0" multipleItemSelectionAllowed="1" showAll="0" sortType="ascending">
      <items>
        <item x="1"/>
        <item x="2"/>
        <item x="0"/>
        <item x="3"/>
        <item t="default"/>
      </items>
    </pivotField>
    <pivotField name="course_rating"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ompleted" axis="axisPage" compact="0" numFmtId="3" outline="0" multipleItemSelectionAllowed="1" showAll="0">
      <items>
        <item h="1" x="0"/>
        <item x="1"/>
        <item t="default"/>
      </items>
    </pivotField>
    <pivotField name="hours_spent"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 compact="0" numFmtId="49" outline="0" multipleItemSelectionAllowed="1" showAll="0">
      <items>
        <item x="0"/>
        <item x="1"/>
        <item x="2"/>
        <item x="3"/>
        <item x="4"/>
        <item t="default"/>
      </items>
    </pivotField>
    <pivotField name="device" compact="0" numFmtId="49" outline="0" multipleItemSelectionAllowed="1" showAll="0">
      <items>
        <item x="0"/>
        <item x="1"/>
        <item x="2"/>
        <item t="default"/>
      </items>
    </pivotField>
    <pivotField name="retained_after_30d" dataField="1" compact="0" numFmtId="3" outline="0" multipleItemSelectionAllowed="1" showAll="0">
      <items>
        <item x="0"/>
        <item x="1"/>
        <item t="default"/>
      </items>
    </pivotField>
  </pivotFields>
  <rowFields>
    <field x="5"/>
  </rowFields>
  <colFields>
    <field x="-2"/>
  </colFields>
  <pageFields>
    <pageField fld="8"/>
  </pageFields>
  <dataFields>
    <dataField name="AVERAGE of hours_spent" fld="9" subtotal="average" baseField="0"/>
    <dataField name="AVERAGE of course_rating" fld="6" subtotal="average" baseField="0"/>
    <dataField name="AVERAGE of progress_percent" fld="7" subtotal="average" baseField="0"/>
    <dataField name="SUM of retained_after_30d" fld="12"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pivotTable" Target="../pivotTables/pivotTable4.xml"/><Relationship Id="rId6" Type="http://schemas.openxmlformats.org/officeDocument/2006/relationships/drawing" Target="../drawings/drawing2.xml"/><Relationship Id="rId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row>
    <row r="2">
      <c r="A2" s="2" t="s">
        <v>12</v>
      </c>
      <c r="B2" s="2" t="s">
        <v>13</v>
      </c>
      <c r="C2" s="3">
        <v>45115.0</v>
      </c>
      <c r="D2" s="3">
        <v>45127.0</v>
      </c>
      <c r="E2" s="2" t="s">
        <v>14</v>
      </c>
      <c r="F2" s="2">
        <v>0.2</v>
      </c>
      <c r="G2" s="2">
        <v>14.0</v>
      </c>
      <c r="H2" s="2">
        <v>0.0</v>
      </c>
      <c r="I2" s="2">
        <v>30.0</v>
      </c>
      <c r="J2" s="2" t="s">
        <v>15</v>
      </c>
      <c r="K2" s="2" t="s">
        <v>16</v>
      </c>
      <c r="L2" s="2">
        <v>1.0</v>
      </c>
    </row>
    <row r="3">
      <c r="A3" s="2" t="s">
        <v>17</v>
      </c>
      <c r="B3" s="2" t="s">
        <v>18</v>
      </c>
      <c r="C3" s="3">
        <v>45079.0</v>
      </c>
      <c r="D3" s="3">
        <v>45091.0</v>
      </c>
      <c r="E3" s="2" t="s">
        <v>14</v>
      </c>
      <c r="F3" s="2">
        <v>2.0</v>
      </c>
      <c r="G3" s="2">
        <v>32.0</v>
      </c>
      <c r="H3" s="2">
        <v>0.0</v>
      </c>
      <c r="I3" s="2">
        <v>48.0</v>
      </c>
      <c r="J3" s="2" t="s">
        <v>19</v>
      </c>
      <c r="K3" s="2" t="s">
        <v>16</v>
      </c>
      <c r="L3" s="2">
        <v>1.0</v>
      </c>
    </row>
    <row r="4">
      <c r="A4" s="2" t="s">
        <v>20</v>
      </c>
      <c r="B4" s="2" t="s">
        <v>21</v>
      </c>
      <c r="C4" s="3">
        <v>45028.0</v>
      </c>
      <c r="D4" s="3">
        <v>45040.0</v>
      </c>
      <c r="E4" s="2" t="s">
        <v>22</v>
      </c>
      <c r="F4" s="2">
        <v>0.3</v>
      </c>
      <c r="G4" s="2">
        <v>16.0</v>
      </c>
      <c r="H4" s="2">
        <v>1.0</v>
      </c>
      <c r="I4" s="2">
        <v>34.0</v>
      </c>
      <c r="J4" s="2" t="s">
        <v>23</v>
      </c>
      <c r="K4" s="2" t="s">
        <v>16</v>
      </c>
      <c r="L4" s="2">
        <v>0.0</v>
      </c>
    </row>
    <row r="5">
      <c r="A5" s="2" t="s">
        <v>24</v>
      </c>
      <c r="B5" s="2" t="s">
        <v>25</v>
      </c>
      <c r="C5" s="3">
        <v>45031.0</v>
      </c>
      <c r="D5" s="3">
        <v>45043.0</v>
      </c>
      <c r="E5" s="2" t="s">
        <v>14</v>
      </c>
      <c r="F5" s="2">
        <v>3.3</v>
      </c>
      <c r="G5" s="2">
        <v>78.0</v>
      </c>
      <c r="H5" s="2">
        <v>1.0</v>
      </c>
      <c r="I5" s="2">
        <v>39.0</v>
      </c>
      <c r="J5" s="2" t="s">
        <v>15</v>
      </c>
      <c r="K5" s="2" t="s">
        <v>26</v>
      </c>
      <c r="L5" s="2">
        <v>0.0</v>
      </c>
    </row>
    <row r="6">
      <c r="A6" s="2" t="s">
        <v>27</v>
      </c>
      <c r="B6" s="2" t="s">
        <v>28</v>
      </c>
      <c r="C6" s="3">
        <v>45107.0</v>
      </c>
      <c r="D6" s="3">
        <v>45119.0</v>
      </c>
      <c r="E6" s="2" t="s">
        <v>29</v>
      </c>
      <c r="F6" s="2">
        <v>0.6</v>
      </c>
      <c r="G6" s="2">
        <v>36.0</v>
      </c>
      <c r="H6" s="2">
        <v>0.0</v>
      </c>
      <c r="I6" s="2">
        <v>40.0</v>
      </c>
      <c r="J6" s="2" t="s">
        <v>15</v>
      </c>
      <c r="K6" s="2" t="s">
        <v>26</v>
      </c>
      <c r="L6" s="2">
        <v>0.0</v>
      </c>
    </row>
    <row r="7">
      <c r="A7" s="2" t="s">
        <v>30</v>
      </c>
      <c r="B7" s="2" t="s">
        <v>31</v>
      </c>
      <c r="C7" s="3">
        <v>44980.0</v>
      </c>
      <c r="D7" s="3">
        <v>44992.0</v>
      </c>
      <c r="E7" s="2" t="s">
        <v>14</v>
      </c>
      <c r="F7" s="2">
        <v>3.0</v>
      </c>
      <c r="G7" s="2">
        <v>81.0</v>
      </c>
      <c r="H7" s="2">
        <v>0.0</v>
      </c>
      <c r="I7" s="2">
        <v>44.0</v>
      </c>
      <c r="J7" s="2" t="s">
        <v>32</v>
      </c>
      <c r="K7" s="2" t="s">
        <v>26</v>
      </c>
      <c r="L7" s="2">
        <v>1.0</v>
      </c>
    </row>
    <row r="8">
      <c r="A8" s="2" t="s">
        <v>33</v>
      </c>
      <c r="B8" s="2" t="s">
        <v>34</v>
      </c>
      <c r="C8" s="3">
        <v>45281.0</v>
      </c>
      <c r="D8" s="3">
        <v>45293.0</v>
      </c>
      <c r="E8" s="2" t="s">
        <v>22</v>
      </c>
      <c r="F8" s="2">
        <v>3.6</v>
      </c>
      <c r="G8" s="2">
        <v>57.0</v>
      </c>
      <c r="H8" s="2">
        <v>1.0</v>
      </c>
      <c r="I8" s="2">
        <v>25.0</v>
      </c>
      <c r="J8" s="2" t="s">
        <v>35</v>
      </c>
      <c r="K8" s="2" t="s">
        <v>26</v>
      </c>
      <c r="L8" s="2">
        <v>1.0</v>
      </c>
    </row>
    <row r="9">
      <c r="A9" s="2" t="s">
        <v>36</v>
      </c>
      <c r="B9" s="2" t="s">
        <v>37</v>
      </c>
      <c r="C9" s="3">
        <v>45088.0</v>
      </c>
      <c r="D9" s="3">
        <v>45100.0</v>
      </c>
      <c r="E9" s="2" t="s">
        <v>38</v>
      </c>
      <c r="F9" s="2">
        <v>0.5</v>
      </c>
      <c r="G9" s="2">
        <v>11.0</v>
      </c>
      <c r="H9" s="2">
        <v>0.0</v>
      </c>
      <c r="I9" s="2">
        <v>43.0</v>
      </c>
      <c r="J9" s="2" t="s">
        <v>19</v>
      </c>
      <c r="K9" s="2" t="s">
        <v>26</v>
      </c>
      <c r="L9" s="2">
        <v>1.0</v>
      </c>
    </row>
    <row r="10">
      <c r="A10" s="2" t="s">
        <v>39</v>
      </c>
      <c r="B10" s="2" t="s">
        <v>40</v>
      </c>
      <c r="C10" s="3">
        <v>45068.0</v>
      </c>
      <c r="D10" s="3">
        <v>45080.0</v>
      </c>
      <c r="E10" s="2" t="s">
        <v>38</v>
      </c>
      <c r="F10" s="2">
        <v>4.7</v>
      </c>
      <c r="G10" s="2">
        <v>76.0</v>
      </c>
      <c r="H10" s="2">
        <v>1.0</v>
      </c>
      <c r="I10" s="2">
        <v>17.0</v>
      </c>
      <c r="J10" s="2" t="s">
        <v>32</v>
      </c>
      <c r="K10" s="2" t="s">
        <v>26</v>
      </c>
      <c r="L10" s="2">
        <v>1.0</v>
      </c>
    </row>
    <row r="11">
      <c r="A11" s="2" t="s">
        <v>41</v>
      </c>
      <c r="B11" s="2" t="s">
        <v>42</v>
      </c>
      <c r="C11" s="3">
        <v>44939.0</v>
      </c>
      <c r="D11" s="3">
        <v>44951.0</v>
      </c>
      <c r="E11" s="2" t="s">
        <v>38</v>
      </c>
      <c r="F11" s="2">
        <v>4.4</v>
      </c>
      <c r="G11" s="2">
        <v>49.0</v>
      </c>
      <c r="H11" s="2">
        <v>1.0</v>
      </c>
      <c r="I11" s="2">
        <v>31.0</v>
      </c>
      <c r="J11" s="2" t="s">
        <v>23</v>
      </c>
      <c r="K11" s="2" t="s">
        <v>16</v>
      </c>
      <c r="L11" s="2">
        <v>0.0</v>
      </c>
    </row>
    <row r="12">
      <c r="A12" s="2" t="s">
        <v>43</v>
      </c>
      <c r="B12" s="2" t="s">
        <v>44</v>
      </c>
      <c r="C12" s="3">
        <v>45128.0</v>
      </c>
      <c r="D12" s="3">
        <v>45140.0</v>
      </c>
      <c r="E12" s="2" t="s">
        <v>38</v>
      </c>
      <c r="F12" s="2">
        <v>2.6</v>
      </c>
      <c r="G12" s="2">
        <v>5.0</v>
      </c>
      <c r="H12" s="2">
        <v>0.0</v>
      </c>
      <c r="I12" s="2">
        <v>35.0</v>
      </c>
      <c r="J12" s="2" t="s">
        <v>35</v>
      </c>
      <c r="K12" s="2" t="s">
        <v>16</v>
      </c>
      <c r="L12" s="2">
        <v>1.0</v>
      </c>
    </row>
    <row r="13">
      <c r="A13" s="2" t="s">
        <v>45</v>
      </c>
      <c r="B13" s="2" t="s">
        <v>46</v>
      </c>
      <c r="C13" s="3">
        <v>45212.0</v>
      </c>
      <c r="D13" s="3">
        <v>45224.0</v>
      </c>
      <c r="E13" s="2" t="s">
        <v>38</v>
      </c>
      <c r="F13" s="2">
        <v>0.8</v>
      </c>
      <c r="G13" s="2">
        <v>2.0</v>
      </c>
      <c r="H13" s="2">
        <v>1.0</v>
      </c>
      <c r="I13" s="2">
        <v>36.0</v>
      </c>
      <c r="J13" s="2" t="s">
        <v>19</v>
      </c>
      <c r="K13" s="2" t="s">
        <v>47</v>
      </c>
      <c r="L13" s="2">
        <v>0.0</v>
      </c>
    </row>
    <row r="14">
      <c r="A14" s="2" t="s">
        <v>48</v>
      </c>
      <c r="B14" s="2" t="s">
        <v>49</v>
      </c>
      <c r="C14" s="3">
        <v>45195.0</v>
      </c>
      <c r="D14" s="3">
        <v>45207.0</v>
      </c>
      <c r="E14" s="2" t="s">
        <v>38</v>
      </c>
      <c r="F14" s="2">
        <v>0.1</v>
      </c>
      <c r="G14" s="2">
        <v>8.0</v>
      </c>
      <c r="H14" s="2">
        <v>1.0</v>
      </c>
      <c r="I14" s="2">
        <v>15.0</v>
      </c>
      <c r="J14" s="2" t="s">
        <v>15</v>
      </c>
      <c r="K14" s="2" t="s">
        <v>26</v>
      </c>
      <c r="L14" s="2">
        <v>0.0</v>
      </c>
    </row>
    <row r="15">
      <c r="A15" s="2" t="s">
        <v>50</v>
      </c>
      <c r="B15" s="2" t="s">
        <v>51</v>
      </c>
      <c r="C15" s="3">
        <v>45110.0</v>
      </c>
      <c r="D15" s="3">
        <v>45122.0</v>
      </c>
      <c r="E15" s="2" t="s">
        <v>29</v>
      </c>
      <c r="F15" s="2">
        <v>4.5</v>
      </c>
      <c r="G15" s="2">
        <v>27.0</v>
      </c>
      <c r="H15" s="2">
        <v>1.0</v>
      </c>
      <c r="I15" s="2">
        <v>46.0</v>
      </c>
      <c r="J15" s="2" t="s">
        <v>15</v>
      </c>
      <c r="K15" s="2" t="s">
        <v>26</v>
      </c>
      <c r="L15" s="2">
        <v>1.0</v>
      </c>
    </row>
    <row r="16">
      <c r="A16" s="2" t="s">
        <v>52</v>
      </c>
      <c r="B16" s="2" t="s">
        <v>53</v>
      </c>
      <c r="C16" s="3">
        <v>44975.0</v>
      </c>
      <c r="D16" s="3">
        <v>44987.0</v>
      </c>
      <c r="E16" s="2" t="s">
        <v>38</v>
      </c>
      <c r="F16" s="2">
        <v>3.5</v>
      </c>
      <c r="G16" s="2">
        <v>48.0</v>
      </c>
      <c r="H16" s="2">
        <v>1.0</v>
      </c>
      <c r="I16" s="2">
        <v>13.0</v>
      </c>
      <c r="J16" s="2" t="s">
        <v>19</v>
      </c>
      <c r="K16" s="2" t="s">
        <v>26</v>
      </c>
      <c r="L16" s="2">
        <v>0.0</v>
      </c>
    </row>
    <row r="17">
      <c r="A17" s="2" t="s">
        <v>54</v>
      </c>
      <c r="B17" s="2" t="s">
        <v>55</v>
      </c>
      <c r="C17" s="3">
        <v>45173.0</v>
      </c>
      <c r="D17" s="3">
        <v>45185.0</v>
      </c>
      <c r="E17" s="2" t="s">
        <v>38</v>
      </c>
      <c r="F17" s="2">
        <v>4.6</v>
      </c>
      <c r="G17" s="2">
        <v>15.0</v>
      </c>
      <c r="H17" s="2">
        <v>0.0</v>
      </c>
      <c r="I17" s="2">
        <v>21.0</v>
      </c>
      <c r="J17" s="2" t="s">
        <v>19</v>
      </c>
      <c r="K17" s="2" t="s">
        <v>16</v>
      </c>
      <c r="L17" s="2">
        <v>1.0</v>
      </c>
    </row>
    <row r="18">
      <c r="A18" s="2" t="s">
        <v>56</v>
      </c>
      <c r="B18" s="2" t="s">
        <v>57</v>
      </c>
      <c r="C18" s="3">
        <v>45218.0</v>
      </c>
      <c r="D18" s="3">
        <v>45230.0</v>
      </c>
      <c r="E18" s="2" t="s">
        <v>14</v>
      </c>
      <c r="F18" s="2">
        <v>1.8</v>
      </c>
      <c r="G18" s="2">
        <v>71.0</v>
      </c>
      <c r="H18" s="2">
        <v>0.0</v>
      </c>
      <c r="I18" s="2">
        <v>14.0</v>
      </c>
      <c r="J18" s="2" t="s">
        <v>23</v>
      </c>
      <c r="K18" s="2" t="s">
        <v>26</v>
      </c>
      <c r="L18" s="2">
        <v>1.0</v>
      </c>
    </row>
    <row r="19">
      <c r="A19" s="2" t="s">
        <v>58</v>
      </c>
      <c r="B19" s="2" t="s">
        <v>59</v>
      </c>
      <c r="C19" s="3">
        <v>44961.0</v>
      </c>
      <c r="D19" s="3">
        <v>44973.0</v>
      </c>
      <c r="E19" s="2" t="s">
        <v>38</v>
      </c>
      <c r="F19" s="2">
        <v>0.0</v>
      </c>
      <c r="G19" s="2">
        <v>28.0</v>
      </c>
      <c r="H19" s="2">
        <v>0.0</v>
      </c>
      <c r="I19" s="2">
        <v>56.0</v>
      </c>
      <c r="J19" s="2" t="s">
        <v>35</v>
      </c>
      <c r="K19" s="2" t="s">
        <v>16</v>
      </c>
      <c r="L19" s="2">
        <v>1.0</v>
      </c>
    </row>
    <row r="20">
      <c r="A20" s="2" t="s">
        <v>60</v>
      </c>
      <c r="B20" s="2" t="s">
        <v>61</v>
      </c>
      <c r="C20" s="3">
        <v>44985.0</v>
      </c>
      <c r="D20" s="3">
        <v>44997.0</v>
      </c>
      <c r="E20" s="2" t="s">
        <v>38</v>
      </c>
      <c r="F20" s="2">
        <v>2.2</v>
      </c>
      <c r="G20" s="2">
        <v>66.0</v>
      </c>
      <c r="H20" s="2">
        <v>1.0</v>
      </c>
      <c r="I20" s="2">
        <v>37.0</v>
      </c>
      <c r="J20" s="2" t="s">
        <v>23</v>
      </c>
      <c r="K20" s="2" t="s">
        <v>47</v>
      </c>
      <c r="L20" s="2">
        <v>1.0</v>
      </c>
    </row>
    <row r="21">
      <c r="A21" s="2" t="s">
        <v>62</v>
      </c>
      <c r="B21" s="2" t="s">
        <v>63</v>
      </c>
      <c r="C21" s="3">
        <v>45115.0</v>
      </c>
      <c r="D21" s="3">
        <v>45127.0</v>
      </c>
      <c r="E21" s="2" t="s">
        <v>29</v>
      </c>
      <c r="F21" s="2">
        <v>1.7</v>
      </c>
      <c r="G21" s="2">
        <v>51.0</v>
      </c>
      <c r="H21" s="2">
        <v>1.0</v>
      </c>
      <c r="I21" s="2">
        <v>33.0</v>
      </c>
      <c r="J21" s="2" t="s">
        <v>35</v>
      </c>
      <c r="K21" s="2" t="s">
        <v>47</v>
      </c>
      <c r="L21" s="2">
        <v>1.0</v>
      </c>
    </row>
    <row r="22">
      <c r="A22" s="2" t="s">
        <v>64</v>
      </c>
      <c r="B22" s="2" t="s">
        <v>65</v>
      </c>
      <c r="C22" s="3">
        <v>45056.0</v>
      </c>
      <c r="D22" s="3">
        <v>45068.0</v>
      </c>
      <c r="E22" s="2" t="s">
        <v>38</v>
      </c>
      <c r="F22" s="2">
        <v>3.1</v>
      </c>
      <c r="G22" s="2">
        <v>47.0</v>
      </c>
      <c r="H22" s="2">
        <v>1.0</v>
      </c>
      <c r="I22" s="2">
        <v>53.0</v>
      </c>
      <c r="J22" s="2" t="s">
        <v>32</v>
      </c>
      <c r="K22" s="2" t="s">
        <v>47</v>
      </c>
      <c r="L22" s="2">
        <v>1.0</v>
      </c>
    </row>
    <row r="23">
      <c r="A23" s="2" t="s">
        <v>66</v>
      </c>
      <c r="B23" s="2" t="s">
        <v>67</v>
      </c>
      <c r="C23" s="3">
        <v>45072.0</v>
      </c>
      <c r="D23" s="3">
        <v>45084.0</v>
      </c>
      <c r="E23" s="2" t="s">
        <v>22</v>
      </c>
      <c r="F23" s="2">
        <v>2.7</v>
      </c>
      <c r="G23" s="2">
        <v>26.0</v>
      </c>
      <c r="H23" s="2">
        <v>1.0</v>
      </c>
      <c r="I23" s="2">
        <v>26.0</v>
      </c>
      <c r="J23" s="2" t="s">
        <v>15</v>
      </c>
      <c r="K23" s="2" t="s">
        <v>26</v>
      </c>
      <c r="L23" s="2">
        <v>1.0</v>
      </c>
    </row>
    <row r="24">
      <c r="A24" s="2" t="s">
        <v>68</v>
      </c>
      <c r="B24" s="2" t="s">
        <v>69</v>
      </c>
      <c r="C24" s="3">
        <v>45098.0</v>
      </c>
      <c r="D24" s="3">
        <v>45110.0</v>
      </c>
      <c r="E24" s="2" t="s">
        <v>14</v>
      </c>
      <c r="F24" s="2">
        <v>4.0</v>
      </c>
      <c r="G24" s="2">
        <v>60.0</v>
      </c>
      <c r="H24" s="2">
        <v>1.0</v>
      </c>
      <c r="I24" s="2">
        <v>51.0</v>
      </c>
      <c r="J24" s="2" t="s">
        <v>15</v>
      </c>
      <c r="K24" s="2" t="s">
        <v>16</v>
      </c>
      <c r="L24" s="2">
        <v>0.0</v>
      </c>
    </row>
    <row r="25">
      <c r="A25" s="2" t="s">
        <v>70</v>
      </c>
      <c r="B25" s="2" t="s">
        <v>71</v>
      </c>
      <c r="C25" s="3">
        <v>45167.0</v>
      </c>
      <c r="D25" s="3">
        <v>45179.0</v>
      </c>
      <c r="E25" s="2" t="s">
        <v>22</v>
      </c>
      <c r="F25" s="2">
        <v>3.7</v>
      </c>
      <c r="G25" s="2">
        <v>40.0</v>
      </c>
      <c r="H25" s="2">
        <v>0.0</v>
      </c>
      <c r="I25" s="2">
        <v>28.0</v>
      </c>
      <c r="J25" s="2" t="s">
        <v>35</v>
      </c>
      <c r="K25" s="2" t="s">
        <v>16</v>
      </c>
      <c r="L25" s="2">
        <v>1.0</v>
      </c>
    </row>
    <row r="26">
      <c r="A26" s="2" t="s">
        <v>72</v>
      </c>
      <c r="B26" s="2" t="s">
        <v>73</v>
      </c>
      <c r="C26" s="3">
        <v>44936.0</v>
      </c>
      <c r="D26" s="3">
        <v>44948.0</v>
      </c>
      <c r="E26" s="2" t="s">
        <v>14</v>
      </c>
      <c r="F26" s="2">
        <v>2.9</v>
      </c>
      <c r="G26" s="2">
        <v>56.0</v>
      </c>
      <c r="H26" s="2">
        <v>0.0</v>
      </c>
      <c r="I26" s="2">
        <v>50.0</v>
      </c>
      <c r="J26" s="2" t="s">
        <v>15</v>
      </c>
      <c r="K26" s="2" t="s">
        <v>26</v>
      </c>
      <c r="L26" s="2">
        <v>1.0</v>
      </c>
    </row>
    <row r="27">
      <c r="A27" s="2" t="s">
        <v>74</v>
      </c>
      <c r="B27" s="2" t="s">
        <v>75</v>
      </c>
      <c r="C27" s="3">
        <v>45176.0</v>
      </c>
      <c r="D27" s="3">
        <v>45188.0</v>
      </c>
      <c r="E27" s="2" t="s">
        <v>14</v>
      </c>
      <c r="F27" s="2">
        <v>1.0</v>
      </c>
      <c r="G27" s="2">
        <v>69.0</v>
      </c>
      <c r="H27" s="2">
        <v>0.0</v>
      </c>
      <c r="I27" s="2">
        <v>19.0</v>
      </c>
      <c r="J27" s="2" t="s">
        <v>23</v>
      </c>
      <c r="K27" s="2" t="s">
        <v>47</v>
      </c>
      <c r="L27" s="2">
        <v>1.0</v>
      </c>
    </row>
    <row r="28">
      <c r="A28" s="2" t="s">
        <v>76</v>
      </c>
      <c r="B28" s="2" t="s">
        <v>77</v>
      </c>
      <c r="C28" s="3">
        <v>45071.0</v>
      </c>
      <c r="D28" s="3">
        <v>45083.0</v>
      </c>
      <c r="E28" s="2" t="s">
        <v>29</v>
      </c>
      <c r="F28" s="2">
        <v>1.4</v>
      </c>
      <c r="G28" s="2">
        <v>63.0</v>
      </c>
      <c r="H28" s="2">
        <v>0.0</v>
      </c>
      <c r="I28" s="2">
        <v>45.0</v>
      </c>
      <c r="J28" s="2" t="s">
        <v>23</v>
      </c>
      <c r="K28" s="2" t="s">
        <v>16</v>
      </c>
      <c r="L28" s="2">
        <v>1.0</v>
      </c>
    </row>
    <row r="29">
      <c r="A29" s="2" t="s">
        <v>78</v>
      </c>
      <c r="B29" s="2" t="s">
        <v>79</v>
      </c>
      <c r="C29" s="3">
        <v>45250.0</v>
      </c>
      <c r="D29" s="3">
        <v>45262.0</v>
      </c>
      <c r="E29" s="2" t="s">
        <v>14</v>
      </c>
      <c r="F29" s="2">
        <v>1.2</v>
      </c>
      <c r="G29" s="2">
        <v>82.0</v>
      </c>
      <c r="H29" s="2">
        <v>0.0</v>
      </c>
      <c r="I29" s="2">
        <v>23.0</v>
      </c>
      <c r="J29" s="2" t="s">
        <v>15</v>
      </c>
      <c r="K29" s="2" t="s">
        <v>16</v>
      </c>
      <c r="L29" s="2">
        <v>1.0</v>
      </c>
    </row>
    <row r="30">
      <c r="A30" s="2" t="s">
        <v>80</v>
      </c>
      <c r="B30" s="2" t="s">
        <v>81</v>
      </c>
      <c r="C30" s="3">
        <v>45096.0</v>
      </c>
      <c r="D30" s="3">
        <v>45108.0</v>
      </c>
      <c r="E30" s="2" t="s">
        <v>29</v>
      </c>
      <c r="F30" s="2">
        <v>4.3</v>
      </c>
      <c r="G30" s="2">
        <v>44.0</v>
      </c>
      <c r="H30" s="2">
        <v>1.0</v>
      </c>
      <c r="I30" s="2">
        <v>49.0</v>
      </c>
      <c r="J30" s="2" t="s">
        <v>19</v>
      </c>
      <c r="K30" s="2" t="s">
        <v>16</v>
      </c>
      <c r="L30" s="2">
        <v>0.0</v>
      </c>
    </row>
    <row r="31">
      <c r="A31" s="2" t="s">
        <v>82</v>
      </c>
      <c r="B31" s="2" t="s">
        <v>83</v>
      </c>
      <c r="C31" s="3">
        <v>45230.0</v>
      </c>
      <c r="D31" s="3">
        <v>45242.0</v>
      </c>
      <c r="E31" s="2" t="s">
        <v>14</v>
      </c>
      <c r="F31" s="2">
        <v>2.1</v>
      </c>
      <c r="G31" s="2">
        <v>23.0</v>
      </c>
      <c r="H31" s="2">
        <v>1.0</v>
      </c>
      <c r="I31" s="2">
        <v>41.0</v>
      </c>
      <c r="J31" s="2" t="s">
        <v>32</v>
      </c>
      <c r="K31" s="2" t="s">
        <v>47</v>
      </c>
      <c r="L31" s="2">
        <v>1.0</v>
      </c>
    </row>
    <row r="32">
      <c r="A32" s="2" t="s">
        <v>84</v>
      </c>
      <c r="B32" s="2" t="s">
        <v>85</v>
      </c>
      <c r="C32" s="3">
        <v>45139.0</v>
      </c>
      <c r="D32" s="3">
        <v>45151.0</v>
      </c>
      <c r="E32" s="2" t="s">
        <v>29</v>
      </c>
      <c r="F32" s="2">
        <v>3.4</v>
      </c>
      <c r="G32" s="2">
        <v>4.0</v>
      </c>
      <c r="H32" s="2">
        <v>1.0</v>
      </c>
      <c r="I32" s="2">
        <v>29.0</v>
      </c>
      <c r="J32" s="2" t="s">
        <v>15</v>
      </c>
      <c r="K32" s="2" t="s">
        <v>16</v>
      </c>
      <c r="L32" s="2">
        <v>1.0</v>
      </c>
    </row>
    <row r="33">
      <c r="A33" s="2" t="s">
        <v>86</v>
      </c>
      <c r="B33" s="2" t="s">
        <v>87</v>
      </c>
      <c r="C33" s="3">
        <v>45015.0</v>
      </c>
      <c r="D33" s="3">
        <v>45027.0</v>
      </c>
      <c r="E33" s="2" t="s">
        <v>22</v>
      </c>
      <c r="F33" s="2">
        <v>1.9</v>
      </c>
      <c r="G33" s="2">
        <v>59.0</v>
      </c>
      <c r="H33" s="2">
        <v>0.0</v>
      </c>
      <c r="I33" s="2">
        <v>12.0</v>
      </c>
      <c r="J33" s="2" t="s">
        <v>15</v>
      </c>
      <c r="K33" s="2" t="s">
        <v>47</v>
      </c>
      <c r="L33" s="2">
        <v>0.0</v>
      </c>
    </row>
    <row r="34">
      <c r="A34" s="2" t="s">
        <v>88</v>
      </c>
      <c r="B34" s="2" t="s">
        <v>89</v>
      </c>
      <c r="C34" s="3">
        <v>45152.0</v>
      </c>
      <c r="D34" s="3">
        <v>45164.0</v>
      </c>
      <c r="E34" s="2" t="s">
        <v>14</v>
      </c>
      <c r="F34" s="2">
        <v>2.3</v>
      </c>
      <c r="G34" s="2">
        <v>77.0</v>
      </c>
      <c r="H34" s="2">
        <v>1.0</v>
      </c>
      <c r="I34" s="2">
        <v>24.0</v>
      </c>
      <c r="J34" s="2" t="s">
        <v>35</v>
      </c>
      <c r="K34" s="2" t="s">
        <v>47</v>
      </c>
      <c r="L34" s="2">
        <v>1.0</v>
      </c>
    </row>
    <row r="35">
      <c r="A35" s="2" t="s">
        <v>90</v>
      </c>
      <c r="B35" s="2" t="s">
        <v>91</v>
      </c>
      <c r="C35" s="3">
        <v>45241.0</v>
      </c>
      <c r="D35" s="3">
        <v>45253.0</v>
      </c>
      <c r="E35" s="2" t="s">
        <v>38</v>
      </c>
      <c r="F35" s="2">
        <v>0.4</v>
      </c>
      <c r="G35" s="2">
        <v>17.0</v>
      </c>
      <c r="H35" s="2">
        <v>0.0</v>
      </c>
      <c r="I35" s="2">
        <v>22.0</v>
      </c>
      <c r="J35" s="2" t="s">
        <v>23</v>
      </c>
      <c r="K35" s="2" t="s">
        <v>16</v>
      </c>
      <c r="L35" s="2">
        <v>0.0</v>
      </c>
    </row>
    <row r="36">
      <c r="A36" s="2" t="s">
        <v>92</v>
      </c>
      <c r="B36" s="2" t="s">
        <v>93</v>
      </c>
      <c r="C36" s="3">
        <v>45140.0</v>
      </c>
      <c r="D36" s="3">
        <v>45152.0</v>
      </c>
      <c r="E36" s="2" t="s">
        <v>29</v>
      </c>
      <c r="F36" s="2">
        <v>4.2</v>
      </c>
      <c r="G36" s="2">
        <v>91.0</v>
      </c>
      <c r="H36" s="2">
        <v>1.0</v>
      </c>
      <c r="I36" s="2">
        <v>27.0</v>
      </c>
      <c r="J36" s="2" t="s">
        <v>19</v>
      </c>
      <c r="K36" s="2" t="s">
        <v>26</v>
      </c>
      <c r="L36" s="2">
        <v>1.0</v>
      </c>
    </row>
    <row r="37">
      <c r="A37" s="2" t="s">
        <v>94</v>
      </c>
      <c r="B37" s="2" t="s">
        <v>95</v>
      </c>
      <c r="C37" s="3">
        <v>45219.0</v>
      </c>
      <c r="D37" s="3">
        <v>45231.0</v>
      </c>
      <c r="E37" s="2" t="s">
        <v>29</v>
      </c>
      <c r="F37" s="2">
        <v>0.7</v>
      </c>
      <c r="G37" s="2">
        <v>7.0</v>
      </c>
      <c r="H37" s="2">
        <v>0.0</v>
      </c>
      <c r="I37" s="2">
        <v>52.0</v>
      </c>
      <c r="J37" s="2" t="s">
        <v>32</v>
      </c>
      <c r="K37" s="2" t="s">
        <v>26</v>
      </c>
      <c r="L37" s="2">
        <v>1.0</v>
      </c>
    </row>
    <row r="38">
      <c r="A38" s="2" t="s">
        <v>96</v>
      </c>
      <c r="B38" s="2" t="s">
        <v>97</v>
      </c>
      <c r="C38" s="3">
        <v>45163.0</v>
      </c>
      <c r="D38" s="3">
        <v>45175.0</v>
      </c>
      <c r="E38" s="2" t="s">
        <v>22</v>
      </c>
      <c r="F38" s="2">
        <v>1.5</v>
      </c>
      <c r="G38" s="2">
        <v>50.0</v>
      </c>
      <c r="H38" s="2">
        <v>1.0</v>
      </c>
      <c r="I38" s="2">
        <v>18.0</v>
      </c>
      <c r="J38" s="2" t="s">
        <v>32</v>
      </c>
      <c r="K38" s="2" t="s">
        <v>47</v>
      </c>
      <c r="L38" s="2">
        <v>0.0</v>
      </c>
    </row>
    <row r="39">
      <c r="A39" s="2" t="s">
        <v>98</v>
      </c>
      <c r="B39" s="2" t="s">
        <v>99</v>
      </c>
      <c r="C39" s="3">
        <v>45195.0</v>
      </c>
      <c r="D39" s="3">
        <v>45207.0</v>
      </c>
      <c r="E39" s="2" t="s">
        <v>22</v>
      </c>
      <c r="F39" s="2">
        <v>4.8</v>
      </c>
      <c r="G39" s="2">
        <v>10.0</v>
      </c>
      <c r="H39" s="2">
        <v>1.0</v>
      </c>
      <c r="I39" s="2">
        <v>54.0</v>
      </c>
      <c r="J39" s="2" t="s">
        <v>23</v>
      </c>
      <c r="K39" s="2" t="s">
        <v>16</v>
      </c>
      <c r="L39" s="2">
        <v>1.0</v>
      </c>
    </row>
    <row r="40">
      <c r="A40" s="2" t="s">
        <v>100</v>
      </c>
      <c r="B40" s="2" t="s">
        <v>101</v>
      </c>
      <c r="C40" s="3">
        <v>44953.0</v>
      </c>
      <c r="D40" s="3">
        <v>44965.0</v>
      </c>
      <c r="E40" s="2" t="s">
        <v>14</v>
      </c>
      <c r="F40" s="2">
        <v>1.1</v>
      </c>
      <c r="G40" s="2">
        <v>24.0</v>
      </c>
      <c r="H40" s="2">
        <v>0.0</v>
      </c>
      <c r="I40" s="2">
        <v>32.0</v>
      </c>
      <c r="J40" s="2" t="s">
        <v>32</v>
      </c>
      <c r="K40" s="2" t="s">
        <v>16</v>
      </c>
      <c r="L40" s="2">
        <v>1.0</v>
      </c>
    </row>
    <row r="41">
      <c r="A41" s="2" t="s">
        <v>102</v>
      </c>
      <c r="B41" s="2" t="s">
        <v>103</v>
      </c>
      <c r="C41" s="3">
        <v>44929.0</v>
      </c>
      <c r="D41" s="3">
        <v>44941.0</v>
      </c>
      <c r="E41" s="2" t="s">
        <v>38</v>
      </c>
      <c r="F41" s="2">
        <v>0.9</v>
      </c>
      <c r="G41" s="2">
        <v>1.0</v>
      </c>
      <c r="H41" s="2">
        <v>0.0</v>
      </c>
      <c r="I41" s="2">
        <v>38.0</v>
      </c>
      <c r="J41" s="2" t="s">
        <v>35</v>
      </c>
      <c r="K41" s="2" t="s">
        <v>26</v>
      </c>
      <c r="L41" s="2">
        <v>0.0</v>
      </c>
    </row>
    <row r="42">
      <c r="A42" s="2" t="s">
        <v>104</v>
      </c>
      <c r="B42" s="2" t="s">
        <v>105</v>
      </c>
      <c r="C42" s="3">
        <v>45177.0</v>
      </c>
      <c r="D42" s="3">
        <v>45189.0</v>
      </c>
      <c r="E42" s="2" t="s">
        <v>29</v>
      </c>
      <c r="F42" s="2">
        <v>2.5</v>
      </c>
      <c r="G42" s="2">
        <v>68.0</v>
      </c>
      <c r="H42" s="2">
        <v>1.0</v>
      </c>
      <c r="I42" s="2">
        <v>20.0</v>
      </c>
      <c r="J42" s="2" t="s">
        <v>23</v>
      </c>
      <c r="K42" s="2" t="s">
        <v>26</v>
      </c>
      <c r="L42" s="2">
        <v>1.0</v>
      </c>
    </row>
    <row r="43">
      <c r="A43" s="2" t="s">
        <v>106</v>
      </c>
      <c r="B43" s="2" t="s">
        <v>107</v>
      </c>
      <c r="C43" s="3">
        <v>45205.0</v>
      </c>
      <c r="D43" s="3">
        <v>45217.0</v>
      </c>
      <c r="E43" s="2" t="s">
        <v>14</v>
      </c>
      <c r="F43" s="2">
        <v>1.6</v>
      </c>
      <c r="G43" s="2">
        <v>41.0</v>
      </c>
      <c r="H43" s="2">
        <v>0.0</v>
      </c>
      <c r="I43" s="2">
        <v>47.0</v>
      </c>
      <c r="J43" s="2" t="s">
        <v>32</v>
      </c>
      <c r="K43" s="2" t="s">
        <v>26</v>
      </c>
      <c r="L43" s="2">
        <v>1.0</v>
      </c>
    </row>
    <row r="44">
      <c r="A44" s="2" t="s">
        <v>108</v>
      </c>
      <c r="B44" s="2" t="s">
        <v>109</v>
      </c>
      <c r="C44" s="3">
        <v>44973.0</v>
      </c>
      <c r="D44" s="3">
        <v>44985.0</v>
      </c>
      <c r="E44" s="2" t="s">
        <v>38</v>
      </c>
      <c r="F44" s="2">
        <v>3.9</v>
      </c>
      <c r="G44" s="2">
        <v>87.0</v>
      </c>
      <c r="H44" s="2">
        <v>0.0</v>
      </c>
      <c r="I44" s="2">
        <v>55.0</v>
      </c>
      <c r="J44" s="2" t="s">
        <v>19</v>
      </c>
      <c r="K44" s="2" t="s">
        <v>16</v>
      </c>
      <c r="L44" s="2">
        <v>0.0</v>
      </c>
    </row>
    <row r="45">
      <c r="A45" s="2" t="s">
        <v>110</v>
      </c>
      <c r="B45" s="2" t="s">
        <v>111</v>
      </c>
      <c r="C45" s="3">
        <v>45266.0</v>
      </c>
      <c r="D45" s="3">
        <v>45278.0</v>
      </c>
      <c r="E45" s="2" t="s">
        <v>38</v>
      </c>
      <c r="F45" s="2">
        <v>2.8</v>
      </c>
      <c r="G45" s="2">
        <v>29.0</v>
      </c>
      <c r="H45" s="2">
        <v>1.0</v>
      </c>
      <c r="I45" s="2">
        <v>16.0</v>
      </c>
      <c r="J45" s="2" t="s">
        <v>15</v>
      </c>
      <c r="K45" s="2" t="s">
        <v>16</v>
      </c>
      <c r="L45" s="2">
        <v>1.0</v>
      </c>
    </row>
    <row r="46">
      <c r="A46" s="2" t="s">
        <v>112</v>
      </c>
      <c r="B46" s="2" t="s">
        <v>113</v>
      </c>
      <c r="C46" s="3">
        <v>45176.0</v>
      </c>
      <c r="D46" s="3">
        <v>45188.0</v>
      </c>
      <c r="E46" s="2" t="s">
        <v>22</v>
      </c>
      <c r="F46" s="2">
        <v>3.8</v>
      </c>
      <c r="G46" s="2">
        <v>74.0</v>
      </c>
      <c r="H46" s="2">
        <v>0.0</v>
      </c>
      <c r="I46" s="2">
        <v>42.0</v>
      </c>
      <c r="J46" s="2" t="s">
        <v>15</v>
      </c>
      <c r="K46" s="2" t="s">
        <v>26</v>
      </c>
      <c r="L46" s="2">
        <v>0.0</v>
      </c>
    </row>
    <row r="47">
      <c r="A47" s="2" t="s">
        <v>114</v>
      </c>
      <c r="B47" s="2" t="s">
        <v>115</v>
      </c>
      <c r="C47" s="3">
        <v>44945.0</v>
      </c>
      <c r="D47" s="3">
        <v>44957.0</v>
      </c>
      <c r="E47" s="2" t="s">
        <v>22</v>
      </c>
      <c r="F47" s="2">
        <v>4.1</v>
      </c>
      <c r="G47" s="2">
        <v>12.0</v>
      </c>
      <c r="H47" s="2">
        <v>1.0</v>
      </c>
      <c r="I47" s="2">
        <v>53.0</v>
      </c>
      <c r="J47" s="2" t="s">
        <v>23</v>
      </c>
      <c r="K47" s="2" t="s">
        <v>16</v>
      </c>
      <c r="L47" s="2">
        <v>1.0</v>
      </c>
    </row>
    <row r="48">
      <c r="A48" s="2" t="s">
        <v>116</v>
      </c>
      <c r="B48" s="2" t="s">
        <v>117</v>
      </c>
      <c r="C48" s="3">
        <v>44961.0</v>
      </c>
      <c r="D48" s="3">
        <v>44973.0</v>
      </c>
      <c r="E48" s="2" t="s">
        <v>14</v>
      </c>
      <c r="F48" s="2">
        <v>4.9</v>
      </c>
      <c r="G48" s="2">
        <v>95.0</v>
      </c>
      <c r="H48" s="2">
        <v>0.0</v>
      </c>
      <c r="I48" s="2">
        <v>37.0</v>
      </c>
      <c r="J48" s="2" t="s">
        <v>32</v>
      </c>
      <c r="K48" s="2" t="s">
        <v>16</v>
      </c>
      <c r="L48" s="2">
        <v>0.0</v>
      </c>
    </row>
    <row r="49">
      <c r="A49" s="2" t="s">
        <v>118</v>
      </c>
      <c r="B49" s="2" t="s">
        <v>119</v>
      </c>
      <c r="C49" s="3">
        <v>45022.0</v>
      </c>
      <c r="D49" s="3">
        <v>45034.0</v>
      </c>
      <c r="E49" s="2" t="s">
        <v>22</v>
      </c>
      <c r="F49" s="2">
        <v>3.2</v>
      </c>
      <c r="G49" s="2">
        <v>85.0</v>
      </c>
      <c r="H49" s="2">
        <v>1.0</v>
      </c>
      <c r="I49" s="2">
        <v>34.0</v>
      </c>
      <c r="J49" s="2" t="s">
        <v>32</v>
      </c>
      <c r="K49" s="2" t="s">
        <v>47</v>
      </c>
      <c r="L49" s="2">
        <v>1.0</v>
      </c>
    </row>
    <row r="50">
      <c r="A50" s="2" t="s">
        <v>120</v>
      </c>
      <c r="B50" s="2" t="s">
        <v>121</v>
      </c>
      <c r="C50" s="3">
        <v>45122.0</v>
      </c>
      <c r="D50" s="3">
        <v>45134.0</v>
      </c>
      <c r="E50" s="2" t="s">
        <v>14</v>
      </c>
      <c r="F50" s="2">
        <v>5.0</v>
      </c>
      <c r="G50" s="2">
        <v>98.0</v>
      </c>
      <c r="H50" s="2">
        <v>0.0</v>
      </c>
      <c r="I50" s="2">
        <v>29.0</v>
      </c>
      <c r="J50" s="2" t="s">
        <v>32</v>
      </c>
      <c r="K50" s="2" t="s">
        <v>16</v>
      </c>
      <c r="L50" s="2">
        <v>1.0</v>
      </c>
    </row>
    <row r="51">
      <c r="A51" s="2" t="s">
        <v>122</v>
      </c>
      <c r="B51" s="2" t="s">
        <v>123</v>
      </c>
      <c r="C51" s="3">
        <v>44927.0</v>
      </c>
      <c r="D51" s="3">
        <v>44939.0</v>
      </c>
      <c r="E51" s="2" t="s">
        <v>14</v>
      </c>
      <c r="F51" s="2">
        <v>2.4</v>
      </c>
      <c r="G51" s="2">
        <v>92.0</v>
      </c>
      <c r="H51" s="2">
        <v>1.0</v>
      </c>
      <c r="I51" s="2">
        <v>45.0</v>
      </c>
      <c r="J51" s="2" t="s">
        <v>23</v>
      </c>
      <c r="K51" s="2" t="s">
        <v>26</v>
      </c>
      <c r="L51" s="2">
        <v>1.0</v>
      </c>
    </row>
    <row r="52">
      <c r="A52" s="2" t="s">
        <v>124</v>
      </c>
      <c r="B52" s="2" t="s">
        <v>125</v>
      </c>
      <c r="C52" s="3">
        <v>45082.0</v>
      </c>
      <c r="D52" s="3">
        <v>45094.0</v>
      </c>
      <c r="E52" s="2" t="s">
        <v>22</v>
      </c>
      <c r="F52" s="2">
        <v>1.3</v>
      </c>
      <c r="G52" s="2">
        <v>46.0</v>
      </c>
      <c r="H52" s="2">
        <v>0.0</v>
      </c>
      <c r="I52" s="2">
        <v>22.0</v>
      </c>
      <c r="J52" s="2" t="s">
        <v>15</v>
      </c>
      <c r="K52" s="2" t="s">
        <v>47</v>
      </c>
      <c r="L52" s="2">
        <v>1.0</v>
      </c>
    </row>
    <row r="53">
      <c r="A53" s="2" t="s">
        <v>126</v>
      </c>
      <c r="B53" s="2" t="s">
        <v>127</v>
      </c>
      <c r="C53" s="3">
        <v>44975.0</v>
      </c>
      <c r="D53" s="3">
        <v>44987.0</v>
      </c>
      <c r="E53" s="2" t="s">
        <v>14</v>
      </c>
      <c r="F53" s="2">
        <v>1.7</v>
      </c>
      <c r="G53" s="2">
        <v>38.0</v>
      </c>
      <c r="H53" s="2">
        <v>0.0</v>
      </c>
      <c r="I53" s="2">
        <v>50.0</v>
      </c>
      <c r="J53" s="2" t="s">
        <v>32</v>
      </c>
      <c r="K53" s="2" t="s">
        <v>47</v>
      </c>
      <c r="L53" s="2">
        <v>1.0</v>
      </c>
    </row>
    <row r="54">
      <c r="A54" s="2" t="s">
        <v>128</v>
      </c>
      <c r="B54" s="2" t="s">
        <v>129</v>
      </c>
      <c r="C54" s="3">
        <v>45141.0</v>
      </c>
      <c r="D54" s="3">
        <v>45153.0</v>
      </c>
      <c r="E54" s="2" t="s">
        <v>38</v>
      </c>
      <c r="F54" s="2">
        <v>0.0</v>
      </c>
      <c r="G54" s="2">
        <v>6.0</v>
      </c>
      <c r="H54" s="2">
        <v>1.0</v>
      </c>
      <c r="I54" s="2">
        <v>25.0</v>
      </c>
      <c r="J54" s="2" t="s">
        <v>35</v>
      </c>
      <c r="K54" s="2" t="s">
        <v>16</v>
      </c>
      <c r="L54" s="2">
        <v>0.0</v>
      </c>
    </row>
    <row r="55">
      <c r="A55" s="2" t="s">
        <v>130</v>
      </c>
      <c r="B55" s="2" t="s">
        <v>131</v>
      </c>
      <c r="C55" s="3">
        <v>45179.0</v>
      </c>
      <c r="D55" s="3">
        <v>45191.0</v>
      </c>
      <c r="E55" s="2" t="s">
        <v>14</v>
      </c>
      <c r="F55" s="2">
        <v>2.6</v>
      </c>
      <c r="G55" s="2">
        <v>58.0</v>
      </c>
      <c r="H55" s="2">
        <v>0.0</v>
      </c>
      <c r="I55" s="2">
        <v>47.0</v>
      </c>
      <c r="J55" s="2" t="s">
        <v>32</v>
      </c>
      <c r="K55" s="2" t="s">
        <v>26</v>
      </c>
      <c r="L55" s="2">
        <v>1.0</v>
      </c>
    </row>
    <row r="56">
      <c r="A56" s="2" t="s">
        <v>132</v>
      </c>
      <c r="B56" s="2" t="s">
        <v>133</v>
      </c>
      <c r="C56" s="3">
        <v>44938.0</v>
      </c>
      <c r="D56" s="3">
        <v>44950.0</v>
      </c>
      <c r="E56" s="2" t="s">
        <v>22</v>
      </c>
      <c r="F56" s="2">
        <v>0.6</v>
      </c>
      <c r="G56" s="2">
        <v>80.0</v>
      </c>
      <c r="H56" s="2">
        <v>1.0</v>
      </c>
      <c r="I56" s="2">
        <v>42.0</v>
      </c>
      <c r="J56" s="2" t="s">
        <v>35</v>
      </c>
      <c r="K56" s="2" t="s">
        <v>26</v>
      </c>
      <c r="L56" s="2">
        <v>1.0</v>
      </c>
    </row>
    <row r="57">
      <c r="A57" s="2" t="s">
        <v>134</v>
      </c>
      <c r="B57" s="2" t="s">
        <v>135</v>
      </c>
      <c r="C57" s="3">
        <v>45039.0</v>
      </c>
      <c r="D57" s="3">
        <v>45051.0</v>
      </c>
      <c r="E57" s="2" t="s">
        <v>22</v>
      </c>
      <c r="F57" s="2">
        <v>1.1</v>
      </c>
      <c r="G57" s="2">
        <v>30.0</v>
      </c>
      <c r="H57" s="2">
        <v>0.0</v>
      </c>
      <c r="I57" s="2">
        <v>44.0</v>
      </c>
      <c r="J57" s="2" t="s">
        <v>35</v>
      </c>
      <c r="K57" s="2" t="s">
        <v>16</v>
      </c>
      <c r="L57" s="2">
        <v>1.0</v>
      </c>
    </row>
    <row r="58">
      <c r="A58" s="2" t="s">
        <v>136</v>
      </c>
      <c r="B58" s="2" t="s">
        <v>137</v>
      </c>
      <c r="C58" s="3">
        <v>45143.0</v>
      </c>
      <c r="D58" s="3">
        <v>45155.0</v>
      </c>
      <c r="E58" s="2" t="s">
        <v>38</v>
      </c>
      <c r="F58" s="2">
        <v>2.0</v>
      </c>
      <c r="G58" s="2">
        <v>20.0</v>
      </c>
      <c r="H58" s="2">
        <v>1.0</v>
      </c>
      <c r="I58" s="2">
        <v>18.0</v>
      </c>
      <c r="J58" s="2" t="s">
        <v>19</v>
      </c>
      <c r="K58" s="2" t="s">
        <v>16</v>
      </c>
      <c r="L58" s="2">
        <v>1.0</v>
      </c>
    </row>
    <row r="59">
      <c r="A59" s="2" t="s">
        <v>138</v>
      </c>
      <c r="B59" s="2" t="s">
        <v>139</v>
      </c>
      <c r="C59" s="3">
        <v>45083.0</v>
      </c>
      <c r="D59" s="3">
        <v>45095.0</v>
      </c>
      <c r="E59" s="2" t="s">
        <v>14</v>
      </c>
      <c r="F59" s="2">
        <v>1.8</v>
      </c>
      <c r="G59" s="2">
        <v>84.0</v>
      </c>
      <c r="H59" s="2">
        <v>0.0</v>
      </c>
      <c r="I59" s="2">
        <v>38.0</v>
      </c>
      <c r="J59" s="2" t="s">
        <v>23</v>
      </c>
      <c r="K59" s="2" t="s">
        <v>16</v>
      </c>
      <c r="L59" s="2">
        <v>1.0</v>
      </c>
    </row>
    <row r="60">
      <c r="A60" s="2" t="s">
        <v>140</v>
      </c>
      <c r="B60" s="2" t="s">
        <v>141</v>
      </c>
      <c r="C60" s="3">
        <v>45223.0</v>
      </c>
      <c r="D60" s="3">
        <v>45235.0</v>
      </c>
      <c r="E60" s="2" t="s">
        <v>29</v>
      </c>
      <c r="F60" s="2">
        <v>4.7</v>
      </c>
      <c r="G60" s="2">
        <v>45.0</v>
      </c>
      <c r="H60" s="2">
        <v>1.0</v>
      </c>
      <c r="I60" s="2">
        <v>32.0</v>
      </c>
      <c r="J60" s="2" t="s">
        <v>19</v>
      </c>
      <c r="K60" s="2" t="s">
        <v>26</v>
      </c>
      <c r="L60" s="2">
        <v>1.0</v>
      </c>
    </row>
    <row r="61">
      <c r="A61" s="2" t="s">
        <v>142</v>
      </c>
      <c r="B61" s="2" t="s">
        <v>143</v>
      </c>
      <c r="C61" s="3">
        <v>45128.0</v>
      </c>
      <c r="D61" s="3">
        <v>45140.0</v>
      </c>
      <c r="E61" s="2" t="s">
        <v>14</v>
      </c>
      <c r="F61" s="2">
        <v>0.7</v>
      </c>
      <c r="G61" s="2">
        <v>90.0</v>
      </c>
      <c r="H61" s="2">
        <v>1.0</v>
      </c>
      <c r="I61" s="2">
        <v>26.0</v>
      </c>
      <c r="J61" s="2" t="s">
        <v>19</v>
      </c>
      <c r="K61" s="2" t="s">
        <v>26</v>
      </c>
      <c r="L61" s="2">
        <v>0.0</v>
      </c>
    </row>
    <row r="62">
      <c r="A62" s="2" t="s">
        <v>144</v>
      </c>
      <c r="B62" s="2" t="s">
        <v>145</v>
      </c>
      <c r="C62" s="3">
        <v>45185.0</v>
      </c>
      <c r="D62" s="3">
        <v>45197.0</v>
      </c>
      <c r="E62" s="2" t="s">
        <v>22</v>
      </c>
      <c r="F62" s="2">
        <v>3.3</v>
      </c>
      <c r="G62" s="2">
        <v>9.0</v>
      </c>
      <c r="H62" s="2">
        <v>0.0</v>
      </c>
      <c r="I62" s="2">
        <v>36.0</v>
      </c>
      <c r="J62" s="2" t="s">
        <v>23</v>
      </c>
      <c r="K62" s="2" t="s">
        <v>26</v>
      </c>
      <c r="L62" s="2">
        <v>1.0</v>
      </c>
    </row>
    <row r="63">
      <c r="A63" s="2" t="s">
        <v>146</v>
      </c>
      <c r="B63" s="2" t="s">
        <v>147</v>
      </c>
      <c r="C63" s="3">
        <v>44986.0</v>
      </c>
      <c r="D63" s="3">
        <v>44998.0</v>
      </c>
      <c r="E63" s="2" t="s">
        <v>38</v>
      </c>
      <c r="F63" s="2">
        <v>2.9</v>
      </c>
      <c r="G63" s="2">
        <v>67.0</v>
      </c>
      <c r="H63" s="2">
        <v>1.0</v>
      </c>
      <c r="I63" s="2">
        <v>14.0</v>
      </c>
      <c r="J63" s="2" t="s">
        <v>19</v>
      </c>
      <c r="K63" s="2" t="s">
        <v>26</v>
      </c>
      <c r="L63" s="2">
        <v>1.0</v>
      </c>
    </row>
    <row r="64">
      <c r="A64" s="2" t="s">
        <v>148</v>
      </c>
      <c r="B64" s="2" t="s">
        <v>149</v>
      </c>
      <c r="C64" s="3">
        <v>45193.0</v>
      </c>
      <c r="D64" s="3">
        <v>45205.0</v>
      </c>
      <c r="E64" s="2" t="s">
        <v>14</v>
      </c>
      <c r="F64" s="2">
        <v>1.0</v>
      </c>
      <c r="G64" s="2">
        <v>22.0</v>
      </c>
      <c r="H64" s="2">
        <v>1.0</v>
      </c>
      <c r="I64" s="2">
        <v>19.0</v>
      </c>
      <c r="J64" s="2" t="s">
        <v>19</v>
      </c>
      <c r="K64" s="2" t="s">
        <v>47</v>
      </c>
      <c r="L64" s="2">
        <v>1.0</v>
      </c>
    </row>
    <row r="65">
      <c r="A65" s="2" t="s">
        <v>150</v>
      </c>
      <c r="B65" s="2" t="s">
        <v>151</v>
      </c>
      <c r="C65" s="3">
        <v>45128.0</v>
      </c>
      <c r="D65" s="3">
        <v>45140.0</v>
      </c>
      <c r="E65" s="2" t="s">
        <v>29</v>
      </c>
      <c r="F65" s="2">
        <v>4.0</v>
      </c>
      <c r="G65" s="2">
        <v>83.0</v>
      </c>
      <c r="H65" s="2">
        <v>1.0</v>
      </c>
      <c r="I65" s="2">
        <v>13.0</v>
      </c>
      <c r="J65" s="2" t="s">
        <v>15</v>
      </c>
      <c r="K65" s="2" t="s">
        <v>47</v>
      </c>
      <c r="L65" s="2">
        <v>0.0</v>
      </c>
    </row>
    <row r="66">
      <c r="A66" s="2" t="s">
        <v>152</v>
      </c>
      <c r="B66" s="2" t="s">
        <v>153</v>
      </c>
      <c r="C66" s="3">
        <v>45054.0</v>
      </c>
      <c r="D66" s="3">
        <v>45066.0</v>
      </c>
      <c r="E66" s="2" t="s">
        <v>29</v>
      </c>
      <c r="F66" s="2">
        <v>3.5</v>
      </c>
      <c r="G66" s="2">
        <v>53.0</v>
      </c>
      <c r="H66" s="2">
        <v>1.0</v>
      </c>
      <c r="I66" s="2">
        <v>28.0</v>
      </c>
      <c r="J66" s="2" t="s">
        <v>19</v>
      </c>
      <c r="K66" s="2" t="s">
        <v>26</v>
      </c>
      <c r="L66" s="2">
        <v>1.0</v>
      </c>
    </row>
    <row r="67">
      <c r="A67" s="2" t="s">
        <v>154</v>
      </c>
      <c r="B67" s="2" t="s">
        <v>155</v>
      </c>
      <c r="C67" s="3">
        <v>45017.0</v>
      </c>
      <c r="D67" s="3">
        <v>45029.0</v>
      </c>
      <c r="E67" s="2" t="s">
        <v>38</v>
      </c>
      <c r="F67" s="2">
        <v>2.7</v>
      </c>
      <c r="G67" s="2">
        <v>18.0</v>
      </c>
      <c r="H67" s="2">
        <v>1.0</v>
      </c>
      <c r="I67" s="2">
        <v>46.0</v>
      </c>
      <c r="J67" s="2" t="s">
        <v>15</v>
      </c>
      <c r="K67" s="2" t="s">
        <v>16</v>
      </c>
      <c r="L67" s="2">
        <v>1.0</v>
      </c>
    </row>
    <row r="68">
      <c r="A68" s="2" t="s">
        <v>156</v>
      </c>
      <c r="B68" s="2" t="s">
        <v>157</v>
      </c>
      <c r="C68" s="3">
        <v>45034.0</v>
      </c>
      <c r="D68" s="3">
        <v>45046.0</v>
      </c>
      <c r="E68" s="2" t="s">
        <v>29</v>
      </c>
      <c r="F68" s="2">
        <v>3.0</v>
      </c>
      <c r="G68" s="2">
        <v>88.0</v>
      </c>
      <c r="H68" s="2">
        <v>1.0</v>
      </c>
      <c r="I68" s="2">
        <v>55.0</v>
      </c>
      <c r="J68" s="2" t="s">
        <v>23</v>
      </c>
      <c r="K68" s="2" t="s">
        <v>16</v>
      </c>
      <c r="L68" s="2">
        <v>1.0</v>
      </c>
    </row>
    <row r="69">
      <c r="A69" s="2" t="s">
        <v>158</v>
      </c>
      <c r="B69" s="2" t="s">
        <v>159</v>
      </c>
      <c r="C69" s="3">
        <v>45180.0</v>
      </c>
      <c r="D69" s="3">
        <v>45192.0</v>
      </c>
      <c r="E69" s="2" t="s">
        <v>14</v>
      </c>
      <c r="F69" s="2">
        <v>2.8</v>
      </c>
      <c r="G69" s="2">
        <v>42.0</v>
      </c>
      <c r="H69" s="2">
        <v>1.0</v>
      </c>
      <c r="I69" s="2">
        <v>23.0</v>
      </c>
      <c r="J69" s="2" t="s">
        <v>23</v>
      </c>
      <c r="K69" s="2" t="s">
        <v>16</v>
      </c>
      <c r="L69" s="2">
        <v>0.0</v>
      </c>
    </row>
    <row r="70">
      <c r="A70" s="2" t="s">
        <v>160</v>
      </c>
      <c r="B70" s="2" t="s">
        <v>161</v>
      </c>
      <c r="C70" s="3">
        <v>45191.0</v>
      </c>
      <c r="D70" s="3">
        <v>45203.0</v>
      </c>
      <c r="E70" s="2" t="s">
        <v>22</v>
      </c>
      <c r="F70" s="2">
        <v>2.4</v>
      </c>
      <c r="G70" s="2">
        <v>33.0</v>
      </c>
      <c r="H70" s="2">
        <v>1.0</v>
      </c>
      <c r="I70" s="2">
        <v>54.0</v>
      </c>
      <c r="J70" s="2" t="s">
        <v>35</v>
      </c>
      <c r="K70" s="2" t="s">
        <v>16</v>
      </c>
      <c r="L70" s="2">
        <v>0.0</v>
      </c>
    </row>
    <row r="71">
      <c r="A71" s="2" t="s">
        <v>162</v>
      </c>
      <c r="B71" s="2" t="s">
        <v>163</v>
      </c>
      <c r="C71" s="3">
        <v>45220.0</v>
      </c>
      <c r="D71" s="3">
        <v>45232.0</v>
      </c>
      <c r="E71" s="2" t="s">
        <v>22</v>
      </c>
      <c r="F71" s="2">
        <v>4.2</v>
      </c>
      <c r="G71" s="2">
        <v>99.0</v>
      </c>
      <c r="H71" s="2">
        <v>0.0</v>
      </c>
      <c r="I71" s="2">
        <v>33.0</v>
      </c>
      <c r="J71" s="2" t="s">
        <v>32</v>
      </c>
      <c r="K71" s="2" t="s">
        <v>16</v>
      </c>
      <c r="L71" s="2">
        <v>1.0</v>
      </c>
    </row>
    <row r="72">
      <c r="A72" s="2" t="s">
        <v>164</v>
      </c>
      <c r="B72" s="2" t="s">
        <v>165</v>
      </c>
      <c r="C72" s="3">
        <v>45153.0</v>
      </c>
      <c r="D72" s="3">
        <v>45165.0</v>
      </c>
      <c r="E72" s="2" t="s">
        <v>14</v>
      </c>
      <c r="F72" s="2">
        <v>2.5</v>
      </c>
      <c r="G72" s="2">
        <v>19.0</v>
      </c>
      <c r="H72" s="2">
        <v>1.0</v>
      </c>
      <c r="I72" s="2">
        <v>41.0</v>
      </c>
      <c r="J72" s="2" t="s">
        <v>15</v>
      </c>
      <c r="K72" s="2" t="s">
        <v>26</v>
      </c>
      <c r="L72" s="2">
        <v>1.0</v>
      </c>
    </row>
    <row r="73">
      <c r="A73" s="2" t="s">
        <v>166</v>
      </c>
      <c r="B73" s="2" t="s">
        <v>167</v>
      </c>
      <c r="C73" s="3">
        <v>45173.0</v>
      </c>
      <c r="D73" s="3">
        <v>45185.0</v>
      </c>
      <c r="E73" s="2" t="s">
        <v>22</v>
      </c>
      <c r="F73" s="2">
        <v>2.2</v>
      </c>
      <c r="G73" s="2">
        <v>100.0</v>
      </c>
      <c r="H73" s="2">
        <v>1.0</v>
      </c>
      <c r="I73" s="2">
        <v>48.0</v>
      </c>
      <c r="J73" s="2" t="s">
        <v>35</v>
      </c>
      <c r="K73" s="2" t="s">
        <v>16</v>
      </c>
      <c r="L73" s="2">
        <v>0.0</v>
      </c>
    </row>
    <row r="74">
      <c r="A74" s="2" t="s">
        <v>168</v>
      </c>
      <c r="B74" s="2" t="s">
        <v>169</v>
      </c>
      <c r="C74" s="3">
        <v>45029.0</v>
      </c>
      <c r="D74" s="3">
        <v>45041.0</v>
      </c>
      <c r="E74" s="2" t="s">
        <v>29</v>
      </c>
      <c r="F74" s="2">
        <v>4.6</v>
      </c>
      <c r="G74" s="2">
        <v>79.0</v>
      </c>
      <c r="H74" s="2">
        <v>1.0</v>
      </c>
      <c r="I74" s="2">
        <v>17.0</v>
      </c>
      <c r="J74" s="2" t="s">
        <v>35</v>
      </c>
      <c r="K74" s="2" t="s">
        <v>16</v>
      </c>
      <c r="L74" s="2">
        <v>0.0</v>
      </c>
    </row>
    <row r="75">
      <c r="A75" s="2" t="s">
        <v>170</v>
      </c>
      <c r="B75" s="2" t="s">
        <v>171</v>
      </c>
      <c r="C75" s="3">
        <v>45274.0</v>
      </c>
      <c r="D75" s="3">
        <v>45286.0</v>
      </c>
      <c r="E75" s="2" t="s">
        <v>22</v>
      </c>
      <c r="F75" s="2">
        <v>3.8</v>
      </c>
      <c r="G75" s="2">
        <v>52.0</v>
      </c>
      <c r="H75" s="2">
        <v>0.0</v>
      </c>
      <c r="I75" s="2">
        <v>35.0</v>
      </c>
      <c r="J75" s="2" t="s">
        <v>15</v>
      </c>
      <c r="K75" s="2" t="s">
        <v>26</v>
      </c>
      <c r="L75" s="2">
        <v>1.0</v>
      </c>
    </row>
    <row r="76">
      <c r="A76" s="2" t="s">
        <v>172</v>
      </c>
      <c r="B76" s="2" t="s">
        <v>173</v>
      </c>
      <c r="C76" s="3">
        <v>45167.0</v>
      </c>
      <c r="D76" s="3">
        <v>45179.0</v>
      </c>
      <c r="E76" s="2" t="s">
        <v>22</v>
      </c>
      <c r="F76" s="2">
        <v>4.8</v>
      </c>
      <c r="G76" s="2">
        <v>39.0</v>
      </c>
      <c r="H76" s="2">
        <v>1.0</v>
      </c>
      <c r="I76" s="2">
        <v>16.0</v>
      </c>
      <c r="J76" s="2" t="s">
        <v>32</v>
      </c>
      <c r="K76" s="2" t="s">
        <v>16</v>
      </c>
      <c r="L76" s="2">
        <v>1.0</v>
      </c>
    </row>
    <row r="77">
      <c r="A77" s="2" t="s">
        <v>174</v>
      </c>
      <c r="B77" s="2" t="s">
        <v>175</v>
      </c>
      <c r="C77" s="3">
        <v>45172.0</v>
      </c>
      <c r="D77" s="3">
        <v>45184.0</v>
      </c>
      <c r="E77" s="2" t="s">
        <v>14</v>
      </c>
      <c r="F77" s="2">
        <v>4.3</v>
      </c>
      <c r="G77" s="2">
        <v>65.0</v>
      </c>
      <c r="H77" s="2">
        <v>0.0</v>
      </c>
      <c r="I77" s="2">
        <v>27.0</v>
      </c>
      <c r="J77" s="2" t="s">
        <v>19</v>
      </c>
      <c r="K77" s="2" t="s">
        <v>47</v>
      </c>
      <c r="L77" s="2">
        <v>0.0</v>
      </c>
    </row>
    <row r="78">
      <c r="A78" s="2" t="s">
        <v>176</v>
      </c>
      <c r="B78" s="2" t="s">
        <v>177</v>
      </c>
      <c r="C78" s="3">
        <v>45202.0</v>
      </c>
      <c r="D78" s="3">
        <v>45214.0</v>
      </c>
      <c r="E78" s="2" t="s">
        <v>38</v>
      </c>
      <c r="F78" s="2">
        <v>0.4</v>
      </c>
      <c r="G78" s="2">
        <v>31.0</v>
      </c>
      <c r="H78" s="2">
        <v>1.0</v>
      </c>
      <c r="I78" s="2">
        <v>12.0</v>
      </c>
      <c r="J78" s="2" t="s">
        <v>15</v>
      </c>
      <c r="K78" s="2" t="s">
        <v>26</v>
      </c>
      <c r="L78" s="2">
        <v>0.0</v>
      </c>
    </row>
    <row r="79">
      <c r="A79" s="2" t="s">
        <v>178</v>
      </c>
      <c r="B79" s="2" t="s">
        <v>179</v>
      </c>
      <c r="C79" s="3">
        <v>45218.0</v>
      </c>
      <c r="D79" s="3">
        <v>45230.0</v>
      </c>
      <c r="E79" s="2" t="s">
        <v>22</v>
      </c>
      <c r="F79" s="2">
        <v>0.2</v>
      </c>
      <c r="G79" s="2">
        <v>35.0</v>
      </c>
      <c r="H79" s="2">
        <v>1.0</v>
      </c>
      <c r="I79" s="2">
        <v>15.0</v>
      </c>
      <c r="J79" s="2" t="s">
        <v>23</v>
      </c>
      <c r="K79" s="2" t="s">
        <v>16</v>
      </c>
      <c r="L79" s="2">
        <v>0.0</v>
      </c>
    </row>
    <row r="80">
      <c r="A80" s="2" t="s">
        <v>180</v>
      </c>
      <c r="B80" s="2" t="s">
        <v>181</v>
      </c>
      <c r="C80" s="3">
        <v>45051.0</v>
      </c>
      <c r="D80" s="3">
        <v>45063.0</v>
      </c>
      <c r="E80" s="2" t="s">
        <v>38</v>
      </c>
      <c r="F80" s="2">
        <v>3.2</v>
      </c>
      <c r="G80" s="2">
        <v>94.0</v>
      </c>
      <c r="H80" s="2">
        <v>0.0</v>
      </c>
      <c r="I80" s="2">
        <v>56.0</v>
      </c>
      <c r="J80" s="2" t="s">
        <v>19</v>
      </c>
      <c r="K80" s="2" t="s">
        <v>16</v>
      </c>
      <c r="L80" s="2">
        <v>1.0</v>
      </c>
    </row>
    <row r="81">
      <c r="A81" s="2" t="s">
        <v>182</v>
      </c>
      <c r="B81" s="2" t="s">
        <v>183</v>
      </c>
      <c r="C81" s="3">
        <v>45257.0</v>
      </c>
      <c r="D81" s="3">
        <v>45269.0</v>
      </c>
      <c r="E81" s="2" t="s">
        <v>22</v>
      </c>
      <c r="F81" s="2">
        <v>4.1</v>
      </c>
      <c r="G81" s="2">
        <v>21.0</v>
      </c>
      <c r="H81" s="2">
        <v>1.0</v>
      </c>
      <c r="I81" s="2">
        <v>20.0</v>
      </c>
      <c r="J81" s="2" t="s">
        <v>35</v>
      </c>
      <c r="K81" s="2" t="s">
        <v>16</v>
      </c>
      <c r="L81" s="2">
        <v>1.0</v>
      </c>
    </row>
    <row r="82">
      <c r="A82" s="2" t="s">
        <v>184</v>
      </c>
      <c r="B82" s="2" t="s">
        <v>185</v>
      </c>
      <c r="C82" s="3">
        <v>45232.0</v>
      </c>
      <c r="D82" s="3">
        <v>45244.0</v>
      </c>
      <c r="E82" s="2" t="s">
        <v>22</v>
      </c>
      <c r="F82" s="2">
        <v>3.4</v>
      </c>
      <c r="G82" s="2">
        <v>54.0</v>
      </c>
      <c r="H82" s="2">
        <v>1.0</v>
      </c>
      <c r="I82" s="2">
        <v>31.0</v>
      </c>
      <c r="J82" s="2" t="s">
        <v>35</v>
      </c>
      <c r="K82" s="2" t="s">
        <v>47</v>
      </c>
      <c r="L82" s="2">
        <v>0.0</v>
      </c>
    </row>
    <row r="83">
      <c r="A83" s="2" t="s">
        <v>186</v>
      </c>
      <c r="B83" s="2" t="s">
        <v>187</v>
      </c>
      <c r="C83" s="3">
        <v>45073.0</v>
      </c>
      <c r="D83" s="3">
        <v>45085.0</v>
      </c>
      <c r="E83" s="2" t="s">
        <v>38</v>
      </c>
      <c r="F83" s="2">
        <v>5.0</v>
      </c>
      <c r="G83" s="2">
        <v>97.0</v>
      </c>
      <c r="H83" s="2">
        <v>1.0</v>
      </c>
      <c r="I83" s="2">
        <v>39.0</v>
      </c>
      <c r="J83" s="2" t="s">
        <v>35</v>
      </c>
      <c r="K83" s="2" t="s">
        <v>16</v>
      </c>
      <c r="L83" s="2">
        <v>1.0</v>
      </c>
    </row>
    <row r="84">
      <c r="A84" s="2" t="s">
        <v>188</v>
      </c>
      <c r="B84" s="2" t="s">
        <v>189</v>
      </c>
      <c r="C84" s="3">
        <v>45187.0</v>
      </c>
      <c r="D84" s="3">
        <v>45199.0</v>
      </c>
      <c r="E84" s="2" t="s">
        <v>22</v>
      </c>
      <c r="F84" s="2">
        <v>1.9</v>
      </c>
      <c r="G84" s="2">
        <v>72.0</v>
      </c>
      <c r="H84" s="2">
        <v>1.0</v>
      </c>
      <c r="I84" s="2">
        <v>30.0</v>
      </c>
      <c r="J84" s="2" t="s">
        <v>23</v>
      </c>
      <c r="K84" s="2" t="s">
        <v>47</v>
      </c>
      <c r="L84" s="2">
        <v>0.0</v>
      </c>
    </row>
    <row r="85">
      <c r="A85" s="2" t="s">
        <v>190</v>
      </c>
      <c r="B85" s="2" t="s">
        <v>191</v>
      </c>
      <c r="C85" s="3">
        <v>45232.0</v>
      </c>
      <c r="D85" s="3">
        <v>45244.0</v>
      </c>
      <c r="E85" s="2" t="s">
        <v>38</v>
      </c>
      <c r="F85" s="2">
        <v>0.1</v>
      </c>
      <c r="G85" s="2">
        <v>55.0</v>
      </c>
      <c r="H85" s="2">
        <v>1.0</v>
      </c>
      <c r="I85" s="2">
        <v>21.0</v>
      </c>
      <c r="J85" s="2" t="s">
        <v>15</v>
      </c>
      <c r="K85" s="2" t="s">
        <v>26</v>
      </c>
      <c r="L85" s="2">
        <v>0.0</v>
      </c>
    </row>
    <row r="86">
      <c r="A86" s="2" t="s">
        <v>192</v>
      </c>
      <c r="B86" s="2" t="s">
        <v>193</v>
      </c>
      <c r="C86" s="3">
        <v>45196.0</v>
      </c>
      <c r="D86" s="3">
        <v>45208.0</v>
      </c>
      <c r="E86" s="2" t="s">
        <v>14</v>
      </c>
      <c r="F86" s="2">
        <v>2.1</v>
      </c>
      <c r="G86" s="2">
        <v>64.0</v>
      </c>
      <c r="H86" s="2">
        <v>0.0</v>
      </c>
      <c r="I86" s="2">
        <v>24.0</v>
      </c>
      <c r="J86" s="2" t="s">
        <v>35</v>
      </c>
      <c r="K86" s="2" t="s">
        <v>26</v>
      </c>
      <c r="L86" s="2">
        <v>1.0</v>
      </c>
    </row>
    <row r="87">
      <c r="A87" s="2" t="s">
        <v>194</v>
      </c>
      <c r="B87" s="2" t="s">
        <v>195</v>
      </c>
      <c r="C87" s="3">
        <v>45031.0</v>
      </c>
      <c r="D87" s="3">
        <v>45043.0</v>
      </c>
      <c r="E87" s="2" t="s">
        <v>14</v>
      </c>
      <c r="F87" s="2">
        <v>1.2</v>
      </c>
      <c r="G87" s="2">
        <v>43.0</v>
      </c>
      <c r="H87" s="2">
        <v>0.0</v>
      </c>
      <c r="I87" s="2">
        <v>43.0</v>
      </c>
      <c r="J87" s="2" t="s">
        <v>35</v>
      </c>
      <c r="K87" s="2" t="s">
        <v>47</v>
      </c>
      <c r="L87" s="2">
        <v>1.0</v>
      </c>
    </row>
    <row r="88">
      <c r="A88" s="2" t="s">
        <v>196</v>
      </c>
      <c r="B88" s="2" t="s">
        <v>197</v>
      </c>
      <c r="C88" s="3">
        <v>45130.0</v>
      </c>
      <c r="D88" s="3">
        <v>45142.0</v>
      </c>
      <c r="E88" s="2" t="s">
        <v>14</v>
      </c>
      <c r="F88" s="2">
        <v>0.8</v>
      </c>
      <c r="G88" s="2">
        <v>61.0</v>
      </c>
      <c r="H88" s="2">
        <v>1.0</v>
      </c>
      <c r="I88" s="2">
        <v>51.0</v>
      </c>
      <c r="J88" s="2" t="s">
        <v>32</v>
      </c>
      <c r="K88" s="2" t="s">
        <v>16</v>
      </c>
      <c r="L88" s="2">
        <v>0.0</v>
      </c>
    </row>
    <row r="89">
      <c r="A89" s="2" t="s">
        <v>198</v>
      </c>
      <c r="B89" s="2" t="s">
        <v>199</v>
      </c>
      <c r="C89" s="3">
        <v>44988.0</v>
      </c>
      <c r="D89" s="3">
        <v>45000.0</v>
      </c>
      <c r="E89" s="2" t="s">
        <v>22</v>
      </c>
      <c r="F89" s="2">
        <v>4.5</v>
      </c>
      <c r="G89" s="2">
        <v>96.0</v>
      </c>
      <c r="H89" s="2">
        <v>1.0</v>
      </c>
      <c r="I89" s="2">
        <v>49.0</v>
      </c>
      <c r="J89" s="2" t="s">
        <v>19</v>
      </c>
      <c r="K89" s="2" t="s">
        <v>47</v>
      </c>
      <c r="L89" s="2">
        <v>0.0</v>
      </c>
    </row>
    <row r="90">
      <c r="A90" s="2" t="s">
        <v>200</v>
      </c>
      <c r="B90" s="2" t="s">
        <v>201</v>
      </c>
      <c r="C90" s="3">
        <v>45281.0</v>
      </c>
      <c r="D90" s="3">
        <v>45293.0</v>
      </c>
      <c r="E90" s="2" t="s">
        <v>14</v>
      </c>
      <c r="F90" s="2">
        <v>3.1</v>
      </c>
      <c r="G90" s="2">
        <v>13.0</v>
      </c>
      <c r="H90" s="2">
        <v>1.0</v>
      </c>
      <c r="I90" s="2">
        <v>52.0</v>
      </c>
      <c r="J90" s="2" t="s">
        <v>35</v>
      </c>
      <c r="K90" s="2" t="s">
        <v>47</v>
      </c>
      <c r="L90" s="2">
        <v>1.0</v>
      </c>
    </row>
    <row r="91">
      <c r="A91" s="2" t="s">
        <v>202</v>
      </c>
      <c r="B91" s="2" t="s">
        <v>203</v>
      </c>
      <c r="C91" s="3">
        <v>45200.0</v>
      </c>
      <c r="D91" s="3">
        <v>45212.0</v>
      </c>
      <c r="E91" s="2" t="s">
        <v>22</v>
      </c>
      <c r="F91" s="2">
        <v>0.3</v>
      </c>
      <c r="G91" s="2">
        <v>75.0</v>
      </c>
      <c r="H91" s="2">
        <v>1.0</v>
      </c>
      <c r="I91" s="2">
        <v>40.0</v>
      </c>
      <c r="J91" s="2" t="s">
        <v>32</v>
      </c>
      <c r="K91" s="2" t="s">
        <v>16</v>
      </c>
      <c r="L91" s="2">
        <v>0.0</v>
      </c>
    </row>
    <row r="92">
      <c r="A92" s="2" t="s">
        <v>204</v>
      </c>
      <c r="B92" s="2" t="s">
        <v>205</v>
      </c>
      <c r="C92" s="3">
        <v>45125.0</v>
      </c>
      <c r="D92" s="3">
        <v>45137.0</v>
      </c>
      <c r="E92" s="2" t="s">
        <v>29</v>
      </c>
      <c r="F92" s="2">
        <v>4.4</v>
      </c>
      <c r="G92" s="2">
        <v>3.0</v>
      </c>
      <c r="H92" s="2">
        <v>0.0</v>
      </c>
      <c r="I92" s="2">
        <v>22.0</v>
      </c>
      <c r="J92" s="2" t="s">
        <v>19</v>
      </c>
      <c r="K92" s="2" t="s">
        <v>47</v>
      </c>
      <c r="L92" s="2">
        <v>1.0</v>
      </c>
    </row>
    <row r="93">
      <c r="A93" s="2" t="s">
        <v>206</v>
      </c>
      <c r="B93" s="2" t="s">
        <v>207</v>
      </c>
      <c r="C93" s="3">
        <v>44951.0</v>
      </c>
      <c r="D93" s="3">
        <v>44963.0</v>
      </c>
      <c r="E93" s="2" t="s">
        <v>29</v>
      </c>
      <c r="F93" s="2">
        <v>1.6</v>
      </c>
      <c r="G93" s="2">
        <v>34.0</v>
      </c>
      <c r="H93" s="2">
        <v>0.0</v>
      </c>
      <c r="I93" s="2">
        <v>31.0</v>
      </c>
      <c r="J93" s="2" t="s">
        <v>15</v>
      </c>
      <c r="K93" s="2" t="s">
        <v>47</v>
      </c>
      <c r="L93" s="2">
        <v>1.0</v>
      </c>
    </row>
    <row r="94">
      <c r="A94" s="2" t="s">
        <v>208</v>
      </c>
      <c r="B94" s="2" t="s">
        <v>209</v>
      </c>
      <c r="C94" s="3">
        <v>45020.0</v>
      </c>
      <c r="D94" s="3">
        <v>45032.0</v>
      </c>
      <c r="E94" s="2" t="s">
        <v>22</v>
      </c>
      <c r="F94" s="2">
        <v>3.7</v>
      </c>
      <c r="G94" s="2">
        <v>89.0</v>
      </c>
      <c r="H94" s="2">
        <v>0.0</v>
      </c>
      <c r="I94" s="2">
        <v>52.0</v>
      </c>
      <c r="J94" s="2" t="s">
        <v>23</v>
      </c>
      <c r="K94" s="2" t="s">
        <v>26</v>
      </c>
      <c r="L94" s="2">
        <v>1.0</v>
      </c>
    </row>
    <row r="95">
      <c r="A95" s="2" t="s">
        <v>210</v>
      </c>
      <c r="B95" s="2" t="s">
        <v>211</v>
      </c>
      <c r="C95" s="3">
        <v>45148.0</v>
      </c>
      <c r="D95" s="3">
        <v>45160.0</v>
      </c>
      <c r="E95" s="2" t="s">
        <v>14</v>
      </c>
      <c r="F95" s="2">
        <v>1.4</v>
      </c>
      <c r="G95" s="2">
        <v>25.0</v>
      </c>
      <c r="H95" s="2">
        <v>0.0</v>
      </c>
      <c r="I95" s="2">
        <v>45.0</v>
      </c>
      <c r="J95" s="2" t="s">
        <v>15</v>
      </c>
      <c r="K95" s="2" t="s">
        <v>47</v>
      </c>
      <c r="L95" s="2">
        <v>1.0</v>
      </c>
    </row>
    <row r="96">
      <c r="A96" s="2" t="s">
        <v>212</v>
      </c>
      <c r="B96" s="2" t="s">
        <v>213</v>
      </c>
      <c r="C96" s="3">
        <v>44993.0</v>
      </c>
      <c r="D96" s="3">
        <v>45005.0</v>
      </c>
      <c r="E96" s="2" t="s">
        <v>22</v>
      </c>
      <c r="F96" s="2">
        <v>0.9</v>
      </c>
      <c r="G96" s="2">
        <v>73.0</v>
      </c>
      <c r="H96" s="2">
        <v>0.0</v>
      </c>
      <c r="I96" s="2">
        <v>18.0</v>
      </c>
      <c r="J96" s="2" t="s">
        <v>19</v>
      </c>
      <c r="K96" s="2" t="s">
        <v>47</v>
      </c>
      <c r="L96" s="2">
        <v>1.0</v>
      </c>
    </row>
    <row r="97">
      <c r="A97" s="2" t="s">
        <v>214</v>
      </c>
      <c r="B97" s="2" t="s">
        <v>215</v>
      </c>
      <c r="C97" s="3">
        <v>45130.0</v>
      </c>
      <c r="D97" s="3">
        <v>45142.0</v>
      </c>
      <c r="E97" s="2" t="s">
        <v>22</v>
      </c>
      <c r="F97" s="2">
        <v>2.3</v>
      </c>
      <c r="G97" s="2">
        <v>37.0</v>
      </c>
      <c r="H97" s="2">
        <v>1.0</v>
      </c>
      <c r="I97" s="2">
        <v>50.0</v>
      </c>
      <c r="J97" s="2" t="s">
        <v>35</v>
      </c>
      <c r="K97" s="2" t="s">
        <v>26</v>
      </c>
      <c r="L97" s="2">
        <v>0.0</v>
      </c>
    </row>
    <row r="98">
      <c r="A98" s="2" t="s">
        <v>216</v>
      </c>
      <c r="B98" s="2" t="s">
        <v>217</v>
      </c>
      <c r="C98" s="3">
        <v>44973.0</v>
      </c>
      <c r="D98" s="3">
        <v>44985.0</v>
      </c>
      <c r="E98" s="2" t="s">
        <v>29</v>
      </c>
      <c r="F98" s="2">
        <v>3.6</v>
      </c>
      <c r="G98" s="2">
        <v>86.0</v>
      </c>
      <c r="H98" s="2">
        <v>0.0</v>
      </c>
      <c r="I98" s="2">
        <v>43.0</v>
      </c>
      <c r="J98" s="2" t="s">
        <v>32</v>
      </c>
      <c r="K98" s="2" t="s">
        <v>16</v>
      </c>
      <c r="L98" s="2">
        <v>1.0</v>
      </c>
    </row>
    <row r="99">
      <c r="A99" s="2" t="s">
        <v>218</v>
      </c>
      <c r="B99" s="2" t="s">
        <v>219</v>
      </c>
      <c r="C99" s="3">
        <v>45095.0</v>
      </c>
      <c r="D99" s="3">
        <v>45107.0</v>
      </c>
      <c r="E99" s="2" t="s">
        <v>14</v>
      </c>
      <c r="F99" s="2">
        <v>1.3</v>
      </c>
      <c r="G99" s="2">
        <v>70.0</v>
      </c>
      <c r="H99" s="2">
        <v>0.0</v>
      </c>
      <c r="I99" s="2">
        <v>39.0</v>
      </c>
      <c r="J99" s="2" t="s">
        <v>19</v>
      </c>
      <c r="K99" s="2" t="s">
        <v>16</v>
      </c>
      <c r="L99" s="2">
        <v>0.0</v>
      </c>
    </row>
    <row r="100">
      <c r="A100" s="2" t="s">
        <v>220</v>
      </c>
      <c r="B100" s="2" t="s">
        <v>221</v>
      </c>
      <c r="C100" s="3">
        <v>45136.0</v>
      </c>
      <c r="D100" s="3">
        <v>45148.0</v>
      </c>
      <c r="E100" s="2" t="s">
        <v>29</v>
      </c>
      <c r="F100" s="2">
        <v>3.9</v>
      </c>
      <c r="G100" s="2">
        <v>62.0</v>
      </c>
      <c r="H100" s="2">
        <v>1.0</v>
      </c>
      <c r="I100" s="2">
        <v>51.0</v>
      </c>
      <c r="J100" s="2" t="s">
        <v>32</v>
      </c>
      <c r="K100" s="2" t="s">
        <v>47</v>
      </c>
      <c r="L100" s="2">
        <v>1.0</v>
      </c>
    </row>
    <row r="101">
      <c r="A101" s="2" t="s">
        <v>222</v>
      </c>
      <c r="B101" s="2" t="s">
        <v>223</v>
      </c>
      <c r="C101" s="3">
        <v>45094.0</v>
      </c>
      <c r="D101" s="3">
        <v>45106.0</v>
      </c>
      <c r="E101" s="2" t="s">
        <v>38</v>
      </c>
      <c r="F101" s="2">
        <v>1.5</v>
      </c>
      <c r="G101" s="2">
        <v>93.0</v>
      </c>
      <c r="H101" s="2">
        <v>0.0</v>
      </c>
      <c r="I101" s="2">
        <v>13.0</v>
      </c>
      <c r="J101" s="2" t="s">
        <v>35</v>
      </c>
      <c r="K101" s="2" t="s">
        <v>26</v>
      </c>
      <c r="L101" s="2">
        <v>1.0</v>
      </c>
    </row>
    <row r="102">
      <c r="A102" s="2" t="s">
        <v>224</v>
      </c>
      <c r="B102" s="2" t="s">
        <v>225</v>
      </c>
      <c r="C102" s="3">
        <v>45192.0</v>
      </c>
      <c r="D102" s="3">
        <v>45204.0</v>
      </c>
      <c r="E102" s="2" t="s">
        <v>22</v>
      </c>
      <c r="F102" s="2">
        <v>0.5</v>
      </c>
      <c r="G102" s="2">
        <v>0.0</v>
      </c>
      <c r="H102" s="2">
        <v>1.0</v>
      </c>
      <c r="I102" s="2">
        <v>49.0</v>
      </c>
      <c r="J102" s="2" t="s">
        <v>23</v>
      </c>
      <c r="K102" s="2" t="s">
        <v>47</v>
      </c>
      <c r="L102" s="2">
        <v>0.0</v>
      </c>
    </row>
    <row r="103">
      <c r="A103" s="2" t="s">
        <v>226</v>
      </c>
      <c r="B103" s="2" t="s">
        <v>227</v>
      </c>
      <c r="C103" s="3">
        <v>45290.0</v>
      </c>
      <c r="D103" s="3">
        <v>45302.0</v>
      </c>
      <c r="E103" s="2" t="s">
        <v>38</v>
      </c>
      <c r="F103" s="2">
        <v>4.9</v>
      </c>
      <c r="G103" s="2">
        <v>100.0</v>
      </c>
      <c r="H103" s="2">
        <v>1.0</v>
      </c>
      <c r="I103" s="2">
        <v>34.0</v>
      </c>
      <c r="J103" s="2" t="s">
        <v>19</v>
      </c>
      <c r="K103" s="2" t="s">
        <v>16</v>
      </c>
      <c r="L103" s="2">
        <v>0.0</v>
      </c>
    </row>
    <row r="104">
      <c r="A104" s="2" t="s">
        <v>228</v>
      </c>
      <c r="B104" s="2" t="s">
        <v>229</v>
      </c>
      <c r="C104" s="3">
        <v>45209.0</v>
      </c>
      <c r="D104" s="3">
        <v>45221.0</v>
      </c>
      <c r="E104" s="2" t="s">
        <v>14</v>
      </c>
      <c r="F104" s="2">
        <v>3.4</v>
      </c>
      <c r="G104" s="2">
        <v>92.0</v>
      </c>
      <c r="H104" s="2">
        <v>1.0</v>
      </c>
      <c r="I104" s="2">
        <v>44.0</v>
      </c>
      <c r="J104" s="2" t="s">
        <v>19</v>
      </c>
      <c r="K104" s="2" t="s">
        <v>26</v>
      </c>
      <c r="L104" s="2">
        <v>0.0</v>
      </c>
    </row>
    <row r="105">
      <c r="A105" s="2" t="s">
        <v>230</v>
      </c>
      <c r="B105" s="2" t="s">
        <v>231</v>
      </c>
      <c r="C105" s="3">
        <v>45203.0</v>
      </c>
      <c r="D105" s="3">
        <v>45215.0</v>
      </c>
      <c r="E105" s="2" t="s">
        <v>14</v>
      </c>
      <c r="F105" s="2">
        <v>0.4</v>
      </c>
      <c r="G105" s="2">
        <v>30.0</v>
      </c>
      <c r="H105" s="2">
        <v>0.0</v>
      </c>
      <c r="I105" s="2">
        <v>48.0</v>
      </c>
      <c r="J105" s="2" t="s">
        <v>15</v>
      </c>
      <c r="K105" s="2" t="s">
        <v>26</v>
      </c>
      <c r="L105" s="2">
        <v>0.0</v>
      </c>
    </row>
    <row r="106">
      <c r="A106" s="2" t="s">
        <v>232</v>
      </c>
      <c r="B106" s="2" t="s">
        <v>233</v>
      </c>
      <c r="C106" s="3">
        <v>45033.0</v>
      </c>
      <c r="D106" s="3">
        <v>45045.0</v>
      </c>
      <c r="E106" s="2" t="s">
        <v>14</v>
      </c>
      <c r="F106" s="2">
        <v>3.0</v>
      </c>
      <c r="G106" s="2">
        <v>41.0</v>
      </c>
      <c r="H106" s="2">
        <v>1.0</v>
      </c>
      <c r="I106" s="2">
        <v>27.0</v>
      </c>
      <c r="J106" s="2" t="s">
        <v>19</v>
      </c>
      <c r="K106" s="2" t="s">
        <v>16</v>
      </c>
      <c r="L106" s="2">
        <v>0.0</v>
      </c>
    </row>
    <row r="107">
      <c r="A107" s="2" t="s">
        <v>234</v>
      </c>
      <c r="B107" s="2" t="s">
        <v>235</v>
      </c>
      <c r="C107" s="3">
        <v>45249.0</v>
      </c>
      <c r="D107" s="3">
        <v>45261.0</v>
      </c>
      <c r="E107" s="2" t="s">
        <v>14</v>
      </c>
      <c r="F107" s="2">
        <v>1.0</v>
      </c>
      <c r="G107" s="2">
        <v>32.0</v>
      </c>
      <c r="H107" s="2">
        <v>1.0</v>
      </c>
      <c r="I107" s="2">
        <v>32.0</v>
      </c>
      <c r="J107" s="2" t="s">
        <v>35</v>
      </c>
      <c r="K107" s="2" t="s">
        <v>26</v>
      </c>
      <c r="L107" s="2">
        <v>0.0</v>
      </c>
    </row>
    <row r="108">
      <c r="A108" s="2" t="s">
        <v>236</v>
      </c>
      <c r="B108" s="2" t="s">
        <v>237</v>
      </c>
      <c r="C108" s="3">
        <v>44979.0</v>
      </c>
      <c r="D108" s="3">
        <v>44991.0</v>
      </c>
      <c r="E108" s="2" t="s">
        <v>38</v>
      </c>
      <c r="F108" s="2">
        <v>0.2</v>
      </c>
      <c r="G108" s="2">
        <v>31.0</v>
      </c>
      <c r="H108" s="2">
        <v>0.0</v>
      </c>
      <c r="I108" s="2">
        <v>15.0</v>
      </c>
      <c r="J108" s="2" t="s">
        <v>23</v>
      </c>
      <c r="K108" s="2" t="s">
        <v>16</v>
      </c>
      <c r="L108" s="2">
        <v>1.0</v>
      </c>
    </row>
    <row r="109">
      <c r="A109" s="2" t="s">
        <v>238</v>
      </c>
      <c r="B109" s="2" t="s">
        <v>239</v>
      </c>
      <c r="C109" s="3">
        <v>45222.0</v>
      </c>
      <c r="D109" s="3">
        <v>45234.0</v>
      </c>
      <c r="E109" s="2" t="s">
        <v>29</v>
      </c>
      <c r="F109" s="2">
        <v>0.1</v>
      </c>
      <c r="G109" s="2">
        <v>14.0</v>
      </c>
      <c r="H109" s="2">
        <v>1.0</v>
      </c>
      <c r="I109" s="2">
        <v>12.0</v>
      </c>
      <c r="J109" s="2" t="s">
        <v>32</v>
      </c>
      <c r="K109" s="2" t="s">
        <v>26</v>
      </c>
      <c r="L109" s="2">
        <v>0.0</v>
      </c>
    </row>
    <row r="110">
      <c r="A110" s="2" t="s">
        <v>240</v>
      </c>
      <c r="B110" s="2" t="s">
        <v>241</v>
      </c>
      <c r="C110" s="3">
        <v>45266.0</v>
      </c>
      <c r="D110" s="3">
        <v>45278.0</v>
      </c>
      <c r="E110" s="2" t="s">
        <v>29</v>
      </c>
      <c r="F110" s="2">
        <v>3.1</v>
      </c>
      <c r="G110" s="2">
        <v>36.0</v>
      </c>
      <c r="H110" s="2">
        <v>0.0</v>
      </c>
      <c r="I110" s="2">
        <v>24.0</v>
      </c>
      <c r="J110" s="2" t="s">
        <v>19</v>
      </c>
      <c r="K110" s="2" t="s">
        <v>26</v>
      </c>
      <c r="L110" s="2">
        <v>1.0</v>
      </c>
    </row>
    <row r="111">
      <c r="A111" s="2" t="s">
        <v>242</v>
      </c>
      <c r="B111" s="2" t="s">
        <v>243</v>
      </c>
      <c r="C111" s="3">
        <v>45062.0</v>
      </c>
      <c r="D111" s="3">
        <v>45074.0</v>
      </c>
      <c r="E111" s="2" t="s">
        <v>29</v>
      </c>
      <c r="F111" s="2">
        <v>0.0</v>
      </c>
      <c r="G111" s="2">
        <v>66.0</v>
      </c>
      <c r="H111" s="2">
        <v>1.0</v>
      </c>
      <c r="I111" s="2">
        <v>17.0</v>
      </c>
      <c r="J111" s="2" t="s">
        <v>32</v>
      </c>
      <c r="K111" s="2" t="s">
        <v>16</v>
      </c>
      <c r="L111" s="2">
        <v>1.0</v>
      </c>
    </row>
    <row r="112">
      <c r="A112" s="2" t="s">
        <v>244</v>
      </c>
      <c r="B112" s="2" t="s">
        <v>245</v>
      </c>
      <c r="C112" s="3">
        <v>44958.0</v>
      </c>
      <c r="D112" s="3">
        <v>44970.0</v>
      </c>
      <c r="E112" s="2" t="s">
        <v>14</v>
      </c>
      <c r="F112" s="2">
        <v>3.9</v>
      </c>
      <c r="G112" s="2">
        <v>39.0</v>
      </c>
      <c r="H112" s="2">
        <v>0.0</v>
      </c>
      <c r="I112" s="2">
        <v>21.0</v>
      </c>
      <c r="J112" s="2" t="s">
        <v>19</v>
      </c>
      <c r="K112" s="2" t="s">
        <v>47</v>
      </c>
      <c r="L112" s="2">
        <v>1.0</v>
      </c>
    </row>
    <row r="113">
      <c r="A113" s="2" t="s">
        <v>246</v>
      </c>
      <c r="B113" s="2" t="s">
        <v>247</v>
      </c>
      <c r="C113" s="3">
        <v>45023.0</v>
      </c>
      <c r="D113" s="3">
        <v>45035.0</v>
      </c>
      <c r="E113" s="2" t="s">
        <v>29</v>
      </c>
      <c r="F113" s="2">
        <v>4.8</v>
      </c>
      <c r="G113" s="2">
        <v>12.0</v>
      </c>
      <c r="H113" s="2">
        <v>1.0</v>
      </c>
      <c r="I113" s="2">
        <v>26.0</v>
      </c>
      <c r="J113" s="2" t="s">
        <v>32</v>
      </c>
      <c r="K113" s="2" t="s">
        <v>26</v>
      </c>
      <c r="L113" s="2">
        <v>0.0</v>
      </c>
    </row>
    <row r="114">
      <c r="A114" s="2" t="s">
        <v>248</v>
      </c>
      <c r="B114" s="2" t="s">
        <v>249</v>
      </c>
      <c r="C114" s="3">
        <v>45123.0</v>
      </c>
      <c r="D114" s="3">
        <v>45135.0</v>
      </c>
      <c r="E114" s="2" t="s">
        <v>14</v>
      </c>
      <c r="F114" s="2">
        <v>4.5</v>
      </c>
      <c r="G114" s="2">
        <v>9.0</v>
      </c>
      <c r="H114" s="2">
        <v>0.0</v>
      </c>
      <c r="I114" s="2">
        <v>53.0</v>
      </c>
      <c r="J114" s="2" t="s">
        <v>35</v>
      </c>
      <c r="K114" s="2" t="s">
        <v>47</v>
      </c>
      <c r="L114" s="2">
        <v>0.0</v>
      </c>
    </row>
    <row r="115">
      <c r="A115" s="2" t="s">
        <v>250</v>
      </c>
      <c r="B115" s="2" t="s">
        <v>251</v>
      </c>
      <c r="C115" s="3">
        <v>45082.0</v>
      </c>
      <c r="D115" s="3">
        <v>45094.0</v>
      </c>
      <c r="E115" s="2" t="s">
        <v>38</v>
      </c>
      <c r="F115" s="2">
        <v>2.0</v>
      </c>
      <c r="G115" s="2">
        <v>94.0</v>
      </c>
      <c r="H115" s="2">
        <v>1.0</v>
      </c>
      <c r="I115" s="2">
        <v>47.0</v>
      </c>
      <c r="J115" s="2" t="s">
        <v>15</v>
      </c>
      <c r="K115" s="2" t="s">
        <v>16</v>
      </c>
      <c r="L115" s="2">
        <v>1.0</v>
      </c>
    </row>
    <row r="116">
      <c r="A116" s="2" t="s">
        <v>252</v>
      </c>
      <c r="B116" s="2" t="s">
        <v>253</v>
      </c>
      <c r="C116" s="3">
        <v>45079.0</v>
      </c>
      <c r="D116" s="3">
        <v>45091.0</v>
      </c>
      <c r="E116" s="2" t="s">
        <v>22</v>
      </c>
      <c r="F116" s="2">
        <v>3.3</v>
      </c>
      <c r="G116" s="2">
        <v>42.0</v>
      </c>
      <c r="H116" s="2">
        <v>0.0</v>
      </c>
      <c r="I116" s="2">
        <v>14.0</v>
      </c>
      <c r="J116" s="2" t="s">
        <v>35</v>
      </c>
      <c r="K116" s="2" t="s">
        <v>26</v>
      </c>
      <c r="L116" s="2">
        <v>0.0</v>
      </c>
    </row>
    <row r="117">
      <c r="A117" s="2" t="s">
        <v>254</v>
      </c>
      <c r="B117" s="2" t="s">
        <v>255</v>
      </c>
      <c r="C117" s="3">
        <v>45238.0</v>
      </c>
      <c r="D117" s="3">
        <v>45250.0</v>
      </c>
      <c r="E117" s="2" t="s">
        <v>14</v>
      </c>
      <c r="F117" s="2">
        <v>4.9</v>
      </c>
      <c r="G117" s="2">
        <v>61.0</v>
      </c>
      <c r="H117" s="2">
        <v>1.0</v>
      </c>
      <c r="I117" s="2">
        <v>28.0</v>
      </c>
      <c r="J117" s="2" t="s">
        <v>35</v>
      </c>
      <c r="K117" s="2" t="s">
        <v>26</v>
      </c>
      <c r="L117" s="2">
        <v>1.0</v>
      </c>
    </row>
    <row r="118">
      <c r="A118" s="2" t="s">
        <v>256</v>
      </c>
      <c r="B118" s="2" t="s">
        <v>257</v>
      </c>
      <c r="C118" s="3">
        <v>45063.0</v>
      </c>
      <c r="D118" s="3">
        <v>45075.0</v>
      </c>
      <c r="E118" s="2" t="s">
        <v>29</v>
      </c>
      <c r="F118" s="2">
        <v>2.4</v>
      </c>
      <c r="G118" s="2">
        <v>46.0</v>
      </c>
      <c r="H118" s="2">
        <v>0.0</v>
      </c>
      <c r="I118" s="2">
        <v>35.0</v>
      </c>
      <c r="J118" s="2" t="s">
        <v>32</v>
      </c>
      <c r="K118" s="2" t="s">
        <v>26</v>
      </c>
      <c r="L118" s="2">
        <v>1.0</v>
      </c>
    </row>
    <row r="119">
      <c r="A119" s="2" t="s">
        <v>258</v>
      </c>
      <c r="B119" s="2" t="s">
        <v>259</v>
      </c>
      <c r="C119" s="3">
        <v>44971.0</v>
      </c>
      <c r="D119" s="3">
        <v>44983.0</v>
      </c>
      <c r="E119" s="2" t="s">
        <v>38</v>
      </c>
      <c r="F119" s="2">
        <v>2.6</v>
      </c>
      <c r="G119" s="2">
        <v>82.0</v>
      </c>
      <c r="H119" s="2">
        <v>0.0</v>
      </c>
      <c r="I119" s="2">
        <v>25.0</v>
      </c>
      <c r="J119" s="2" t="s">
        <v>35</v>
      </c>
      <c r="K119" s="2" t="s">
        <v>16</v>
      </c>
      <c r="L119" s="2">
        <v>1.0</v>
      </c>
    </row>
    <row r="120">
      <c r="A120" s="2" t="s">
        <v>260</v>
      </c>
      <c r="B120" s="2" t="s">
        <v>261</v>
      </c>
      <c r="C120" s="3">
        <v>45236.0</v>
      </c>
      <c r="D120" s="3">
        <v>45248.0</v>
      </c>
      <c r="E120" s="2" t="s">
        <v>38</v>
      </c>
      <c r="F120" s="2">
        <v>0.7</v>
      </c>
      <c r="G120" s="2">
        <v>69.0</v>
      </c>
      <c r="H120" s="2">
        <v>1.0</v>
      </c>
      <c r="I120" s="2">
        <v>19.0</v>
      </c>
      <c r="J120" s="2" t="s">
        <v>32</v>
      </c>
      <c r="K120" s="2" t="s">
        <v>16</v>
      </c>
      <c r="L120" s="2">
        <v>0.0</v>
      </c>
    </row>
    <row r="121">
      <c r="A121" s="2" t="s">
        <v>262</v>
      </c>
      <c r="B121" s="2" t="s">
        <v>263</v>
      </c>
      <c r="C121" s="3">
        <v>45145.0</v>
      </c>
      <c r="D121" s="3">
        <v>45157.0</v>
      </c>
      <c r="E121" s="2" t="s">
        <v>29</v>
      </c>
      <c r="F121" s="2">
        <v>1.2</v>
      </c>
      <c r="G121" s="2">
        <v>49.0</v>
      </c>
      <c r="H121" s="2">
        <v>0.0</v>
      </c>
      <c r="I121" s="2">
        <v>37.0</v>
      </c>
      <c r="J121" s="2" t="s">
        <v>35</v>
      </c>
      <c r="K121" s="2" t="s">
        <v>47</v>
      </c>
      <c r="L121" s="2">
        <v>0.0</v>
      </c>
    </row>
    <row r="122">
      <c r="A122" s="2" t="s">
        <v>264</v>
      </c>
      <c r="B122" s="2" t="s">
        <v>265</v>
      </c>
      <c r="C122" s="3">
        <v>44965.0</v>
      </c>
      <c r="D122" s="3">
        <v>44977.0</v>
      </c>
      <c r="E122" s="2" t="s">
        <v>22</v>
      </c>
      <c r="F122" s="2">
        <v>1.9</v>
      </c>
      <c r="G122" s="2">
        <v>5.0</v>
      </c>
      <c r="H122" s="2">
        <v>0.0</v>
      </c>
      <c r="I122" s="2">
        <v>56.0</v>
      </c>
      <c r="J122" s="2" t="s">
        <v>23</v>
      </c>
      <c r="K122" s="2" t="s">
        <v>47</v>
      </c>
      <c r="L122" s="2">
        <v>1.0</v>
      </c>
    </row>
    <row r="123">
      <c r="A123" s="2" t="s">
        <v>266</v>
      </c>
      <c r="B123" s="2" t="s">
        <v>267</v>
      </c>
      <c r="C123" s="3">
        <v>45082.0</v>
      </c>
      <c r="D123" s="3">
        <v>45094.0</v>
      </c>
      <c r="E123" s="2" t="s">
        <v>14</v>
      </c>
      <c r="F123" s="2">
        <v>0.3</v>
      </c>
      <c r="G123" s="2">
        <v>68.0</v>
      </c>
      <c r="H123" s="2">
        <v>1.0</v>
      </c>
      <c r="I123" s="2">
        <v>16.0</v>
      </c>
      <c r="J123" s="2" t="s">
        <v>35</v>
      </c>
      <c r="K123" s="2" t="s">
        <v>47</v>
      </c>
      <c r="L123" s="2">
        <v>0.0</v>
      </c>
    </row>
    <row r="124">
      <c r="A124" s="2" t="s">
        <v>268</v>
      </c>
      <c r="B124" s="2" t="s">
        <v>269</v>
      </c>
      <c r="C124" s="3">
        <v>45153.0</v>
      </c>
      <c r="D124" s="3">
        <v>45165.0</v>
      </c>
      <c r="E124" s="2" t="s">
        <v>22</v>
      </c>
      <c r="F124" s="2">
        <v>1.5</v>
      </c>
      <c r="G124" s="2">
        <v>44.0</v>
      </c>
      <c r="H124" s="2">
        <v>1.0</v>
      </c>
      <c r="I124" s="2">
        <v>20.0</v>
      </c>
      <c r="J124" s="2" t="s">
        <v>23</v>
      </c>
      <c r="K124" s="2" t="s">
        <v>26</v>
      </c>
      <c r="L124" s="2">
        <v>1.0</v>
      </c>
    </row>
    <row r="125">
      <c r="A125" s="2" t="s">
        <v>270</v>
      </c>
      <c r="B125" s="2" t="s">
        <v>271</v>
      </c>
      <c r="C125" s="3">
        <v>44970.0</v>
      </c>
      <c r="D125" s="3">
        <v>44982.0</v>
      </c>
      <c r="E125" s="2" t="s">
        <v>29</v>
      </c>
      <c r="F125" s="2">
        <v>4.6</v>
      </c>
      <c r="G125" s="2">
        <v>33.0</v>
      </c>
      <c r="H125" s="2">
        <v>0.0</v>
      </c>
      <c r="I125" s="2">
        <v>55.0</v>
      </c>
      <c r="J125" s="2" t="s">
        <v>19</v>
      </c>
      <c r="K125" s="2" t="s">
        <v>47</v>
      </c>
      <c r="L125" s="2">
        <v>1.0</v>
      </c>
    </row>
    <row r="126">
      <c r="A126" s="2" t="s">
        <v>272</v>
      </c>
      <c r="B126" s="2" t="s">
        <v>273</v>
      </c>
      <c r="C126" s="3">
        <v>45166.0</v>
      </c>
      <c r="D126" s="3">
        <v>45178.0</v>
      </c>
      <c r="E126" s="2" t="s">
        <v>14</v>
      </c>
      <c r="F126" s="2">
        <v>2.3</v>
      </c>
      <c r="G126" s="2">
        <v>50.0</v>
      </c>
      <c r="H126" s="2">
        <v>0.0</v>
      </c>
      <c r="I126" s="2">
        <v>41.0</v>
      </c>
      <c r="J126" s="2" t="s">
        <v>32</v>
      </c>
      <c r="K126" s="2" t="s">
        <v>47</v>
      </c>
      <c r="L126" s="2">
        <v>1.0</v>
      </c>
    </row>
    <row r="127">
      <c r="A127" s="2" t="s">
        <v>274</v>
      </c>
      <c r="B127" s="2" t="s">
        <v>275</v>
      </c>
      <c r="C127" s="3">
        <v>44935.0</v>
      </c>
      <c r="D127" s="3">
        <v>44947.0</v>
      </c>
      <c r="E127" s="2" t="s">
        <v>14</v>
      </c>
      <c r="F127" s="2">
        <v>3.5</v>
      </c>
      <c r="G127" s="2">
        <v>10.0</v>
      </c>
      <c r="H127" s="2">
        <v>1.0</v>
      </c>
      <c r="I127" s="2">
        <v>42.0</v>
      </c>
      <c r="J127" s="2" t="s">
        <v>23</v>
      </c>
      <c r="K127" s="2" t="s">
        <v>47</v>
      </c>
      <c r="L127" s="2">
        <v>1.0</v>
      </c>
    </row>
    <row r="128">
      <c r="A128" s="2" t="s">
        <v>276</v>
      </c>
      <c r="B128" s="2" t="s">
        <v>277</v>
      </c>
      <c r="C128" s="3">
        <v>45095.0</v>
      </c>
      <c r="D128" s="3">
        <v>45107.0</v>
      </c>
      <c r="E128" s="2" t="s">
        <v>38</v>
      </c>
      <c r="F128" s="2">
        <v>0.6</v>
      </c>
      <c r="G128" s="2">
        <v>19.0</v>
      </c>
      <c r="H128" s="2">
        <v>0.0</v>
      </c>
      <c r="I128" s="2">
        <v>54.0</v>
      </c>
      <c r="J128" s="2" t="s">
        <v>23</v>
      </c>
      <c r="K128" s="2" t="s">
        <v>26</v>
      </c>
      <c r="L128" s="2">
        <v>1.0</v>
      </c>
    </row>
    <row r="129">
      <c r="A129" s="2" t="s">
        <v>278</v>
      </c>
      <c r="B129" s="2" t="s">
        <v>279</v>
      </c>
      <c r="C129" s="3">
        <v>45047.0</v>
      </c>
      <c r="D129" s="3">
        <v>45059.0</v>
      </c>
      <c r="E129" s="2" t="s">
        <v>29</v>
      </c>
      <c r="F129" s="2">
        <v>2.1</v>
      </c>
      <c r="G129" s="2">
        <v>47.0</v>
      </c>
      <c r="H129" s="2">
        <v>0.0</v>
      </c>
      <c r="I129" s="2">
        <v>38.0</v>
      </c>
      <c r="J129" s="2" t="s">
        <v>15</v>
      </c>
      <c r="K129" s="2" t="s">
        <v>47</v>
      </c>
      <c r="L129" s="2">
        <v>0.0</v>
      </c>
    </row>
    <row r="130">
      <c r="A130" s="2" t="s">
        <v>280</v>
      </c>
      <c r="B130" s="2" t="s">
        <v>281</v>
      </c>
      <c r="C130" s="3">
        <v>45215.0</v>
      </c>
      <c r="D130" s="3">
        <v>45227.0</v>
      </c>
      <c r="E130" s="2" t="s">
        <v>38</v>
      </c>
      <c r="F130" s="2">
        <v>3.2</v>
      </c>
      <c r="G130" s="2">
        <v>88.0</v>
      </c>
      <c r="H130" s="2">
        <v>1.0</v>
      </c>
      <c r="I130" s="2">
        <v>46.0</v>
      </c>
      <c r="J130" s="2" t="s">
        <v>32</v>
      </c>
      <c r="K130" s="2" t="s">
        <v>47</v>
      </c>
      <c r="L130" s="2">
        <v>1.0</v>
      </c>
    </row>
    <row r="131">
      <c r="A131" s="2" t="s">
        <v>282</v>
      </c>
      <c r="B131" s="2" t="s">
        <v>283</v>
      </c>
      <c r="C131" s="3">
        <v>45136.0</v>
      </c>
      <c r="D131" s="3">
        <v>45148.0</v>
      </c>
      <c r="E131" s="2" t="s">
        <v>38</v>
      </c>
      <c r="F131" s="2">
        <v>2.9</v>
      </c>
      <c r="G131" s="2">
        <v>74.0</v>
      </c>
      <c r="H131" s="2">
        <v>1.0</v>
      </c>
      <c r="I131" s="2">
        <v>30.0</v>
      </c>
      <c r="J131" s="2" t="s">
        <v>19</v>
      </c>
      <c r="K131" s="2" t="s">
        <v>47</v>
      </c>
      <c r="L131" s="2">
        <v>1.0</v>
      </c>
    </row>
    <row r="132">
      <c r="A132" s="2" t="s">
        <v>284</v>
      </c>
      <c r="B132" s="2" t="s">
        <v>285</v>
      </c>
      <c r="C132" s="3">
        <v>45131.0</v>
      </c>
      <c r="D132" s="3">
        <v>45143.0</v>
      </c>
      <c r="E132" s="2" t="s">
        <v>29</v>
      </c>
      <c r="F132" s="2">
        <v>4.2</v>
      </c>
      <c r="G132" s="2">
        <v>45.0</v>
      </c>
      <c r="H132" s="2">
        <v>1.0</v>
      </c>
      <c r="I132" s="2">
        <v>33.0</v>
      </c>
      <c r="J132" s="2" t="s">
        <v>15</v>
      </c>
      <c r="K132" s="2" t="s">
        <v>26</v>
      </c>
      <c r="L132" s="2">
        <v>1.0</v>
      </c>
    </row>
    <row r="133">
      <c r="A133" s="2" t="s">
        <v>286</v>
      </c>
      <c r="B133" s="2" t="s">
        <v>287</v>
      </c>
      <c r="C133" s="3">
        <v>44943.0</v>
      </c>
      <c r="D133" s="3">
        <v>44955.0</v>
      </c>
      <c r="E133" s="2" t="s">
        <v>14</v>
      </c>
      <c r="F133" s="2">
        <v>2.5</v>
      </c>
      <c r="G133" s="2">
        <v>87.0</v>
      </c>
      <c r="H133" s="2">
        <v>0.0</v>
      </c>
      <c r="I133" s="2">
        <v>29.0</v>
      </c>
      <c r="J133" s="2" t="s">
        <v>19</v>
      </c>
      <c r="K133" s="2" t="s">
        <v>16</v>
      </c>
      <c r="L133" s="2">
        <v>1.0</v>
      </c>
    </row>
    <row r="134">
      <c r="A134" s="2" t="s">
        <v>288</v>
      </c>
      <c r="B134" s="2" t="s">
        <v>289</v>
      </c>
      <c r="C134" s="3">
        <v>45044.0</v>
      </c>
      <c r="D134" s="3">
        <v>45056.0</v>
      </c>
      <c r="E134" s="2" t="s">
        <v>38</v>
      </c>
      <c r="F134" s="2">
        <v>0.9</v>
      </c>
      <c r="G134" s="2">
        <v>70.0</v>
      </c>
      <c r="H134" s="2">
        <v>1.0</v>
      </c>
      <c r="I134" s="2">
        <v>36.0</v>
      </c>
      <c r="J134" s="2" t="s">
        <v>35</v>
      </c>
      <c r="K134" s="2" t="s">
        <v>47</v>
      </c>
      <c r="L134" s="2">
        <v>1.0</v>
      </c>
    </row>
    <row r="135">
      <c r="A135" s="2" t="s">
        <v>290</v>
      </c>
      <c r="B135" s="2" t="s">
        <v>291</v>
      </c>
      <c r="C135" s="3">
        <v>45175.0</v>
      </c>
      <c r="D135" s="3">
        <v>45187.0</v>
      </c>
      <c r="E135" s="2" t="s">
        <v>14</v>
      </c>
      <c r="F135" s="2">
        <v>1.7</v>
      </c>
      <c r="G135" s="2">
        <v>8.0</v>
      </c>
      <c r="H135" s="2">
        <v>1.0</v>
      </c>
      <c r="I135" s="2">
        <v>40.0</v>
      </c>
      <c r="J135" s="2" t="s">
        <v>35</v>
      </c>
      <c r="K135" s="2" t="s">
        <v>26</v>
      </c>
      <c r="L135" s="2">
        <v>1.0</v>
      </c>
    </row>
    <row r="136">
      <c r="A136" s="2" t="s">
        <v>292</v>
      </c>
      <c r="B136" s="2" t="s">
        <v>293</v>
      </c>
      <c r="C136" s="3">
        <v>45258.0</v>
      </c>
      <c r="D136" s="3">
        <v>45270.0</v>
      </c>
      <c r="E136" s="2" t="s">
        <v>29</v>
      </c>
      <c r="F136" s="2">
        <v>4.4</v>
      </c>
      <c r="G136" s="2">
        <v>99.0</v>
      </c>
      <c r="H136" s="2">
        <v>0.0</v>
      </c>
      <c r="I136" s="2">
        <v>23.0</v>
      </c>
      <c r="J136" s="2" t="s">
        <v>19</v>
      </c>
      <c r="K136" s="2" t="s">
        <v>47</v>
      </c>
      <c r="L136" s="2">
        <v>0.0</v>
      </c>
    </row>
    <row r="137">
      <c r="A137" s="2" t="s">
        <v>294</v>
      </c>
      <c r="B137" s="2" t="s">
        <v>295</v>
      </c>
      <c r="C137" s="3">
        <v>45006.0</v>
      </c>
      <c r="D137" s="3">
        <v>45018.0</v>
      </c>
      <c r="E137" s="2" t="s">
        <v>38</v>
      </c>
      <c r="F137" s="2">
        <v>1.3</v>
      </c>
      <c r="G137" s="2">
        <v>56.0</v>
      </c>
      <c r="H137" s="2">
        <v>0.0</v>
      </c>
      <c r="I137" s="2">
        <v>50.0</v>
      </c>
      <c r="J137" s="2" t="s">
        <v>23</v>
      </c>
      <c r="K137" s="2" t="s">
        <v>16</v>
      </c>
      <c r="L137" s="2">
        <v>1.0</v>
      </c>
    </row>
    <row r="138">
      <c r="A138" s="2" t="s">
        <v>296</v>
      </c>
      <c r="B138" s="2" t="s">
        <v>297</v>
      </c>
      <c r="C138" s="3">
        <v>45147.0</v>
      </c>
      <c r="D138" s="3">
        <v>45159.0</v>
      </c>
      <c r="E138" s="2" t="s">
        <v>29</v>
      </c>
      <c r="F138" s="2">
        <v>3.7</v>
      </c>
      <c r="G138" s="2">
        <v>58.0</v>
      </c>
      <c r="H138" s="2">
        <v>0.0</v>
      </c>
      <c r="I138" s="2">
        <v>55.0</v>
      </c>
      <c r="J138" s="2" t="s">
        <v>19</v>
      </c>
      <c r="K138" s="2" t="s">
        <v>26</v>
      </c>
      <c r="L138" s="2">
        <v>1.0</v>
      </c>
    </row>
    <row r="139">
      <c r="A139" s="2" t="s">
        <v>298</v>
      </c>
      <c r="B139" s="2" t="s">
        <v>299</v>
      </c>
      <c r="C139" s="3">
        <v>44978.0</v>
      </c>
      <c r="D139" s="3">
        <v>44990.0</v>
      </c>
      <c r="E139" s="2" t="s">
        <v>14</v>
      </c>
      <c r="F139" s="2">
        <v>2.7</v>
      </c>
      <c r="G139" s="2">
        <v>21.0</v>
      </c>
      <c r="H139" s="2">
        <v>1.0</v>
      </c>
      <c r="I139" s="2">
        <v>20.0</v>
      </c>
      <c r="J139" s="2" t="s">
        <v>23</v>
      </c>
      <c r="K139" s="2" t="s">
        <v>26</v>
      </c>
      <c r="L139" s="2">
        <v>1.0</v>
      </c>
    </row>
    <row r="140">
      <c r="A140" s="2" t="s">
        <v>300</v>
      </c>
      <c r="B140" s="2" t="s">
        <v>301</v>
      </c>
      <c r="C140" s="3">
        <v>45147.0</v>
      </c>
      <c r="D140" s="3">
        <v>45159.0</v>
      </c>
      <c r="E140" s="2" t="s">
        <v>22</v>
      </c>
      <c r="F140" s="2">
        <v>4.7</v>
      </c>
      <c r="G140" s="2">
        <v>35.0</v>
      </c>
      <c r="H140" s="2">
        <v>1.0</v>
      </c>
      <c r="I140" s="2">
        <v>45.0</v>
      </c>
      <c r="J140" s="2" t="s">
        <v>23</v>
      </c>
      <c r="K140" s="2" t="s">
        <v>26</v>
      </c>
      <c r="L140" s="2">
        <v>1.0</v>
      </c>
    </row>
    <row r="141">
      <c r="A141" s="2" t="s">
        <v>302</v>
      </c>
      <c r="B141" s="2" t="s">
        <v>303</v>
      </c>
      <c r="C141" s="3">
        <v>44987.0</v>
      </c>
      <c r="D141" s="3">
        <v>44999.0</v>
      </c>
      <c r="E141" s="2" t="s">
        <v>38</v>
      </c>
      <c r="F141" s="2">
        <v>1.4</v>
      </c>
      <c r="G141" s="2">
        <v>43.0</v>
      </c>
      <c r="H141" s="2">
        <v>0.0</v>
      </c>
      <c r="I141" s="2">
        <v>29.0</v>
      </c>
      <c r="J141" s="2" t="s">
        <v>32</v>
      </c>
      <c r="K141" s="2" t="s">
        <v>16</v>
      </c>
      <c r="L141" s="2">
        <v>1.0</v>
      </c>
    </row>
    <row r="142">
      <c r="A142" s="2" t="s">
        <v>304</v>
      </c>
      <c r="B142" s="2" t="s">
        <v>305</v>
      </c>
      <c r="C142" s="3">
        <v>44945.0</v>
      </c>
      <c r="D142" s="3">
        <v>44957.0</v>
      </c>
      <c r="E142" s="2" t="s">
        <v>22</v>
      </c>
      <c r="F142" s="2">
        <v>4.1</v>
      </c>
      <c r="G142" s="2">
        <v>15.0</v>
      </c>
      <c r="H142" s="2">
        <v>1.0</v>
      </c>
      <c r="I142" s="2">
        <v>44.0</v>
      </c>
      <c r="J142" s="2" t="s">
        <v>19</v>
      </c>
      <c r="K142" s="2" t="s">
        <v>26</v>
      </c>
      <c r="L142" s="2">
        <v>0.0</v>
      </c>
    </row>
    <row r="143">
      <c r="A143" s="2" t="s">
        <v>306</v>
      </c>
      <c r="B143" s="2" t="s">
        <v>307</v>
      </c>
      <c r="C143" s="3">
        <v>45136.0</v>
      </c>
      <c r="D143" s="3">
        <v>45148.0</v>
      </c>
      <c r="E143" s="2" t="s">
        <v>29</v>
      </c>
      <c r="F143" s="2">
        <v>2.2</v>
      </c>
      <c r="G143" s="2">
        <v>85.0</v>
      </c>
      <c r="H143" s="2">
        <v>1.0</v>
      </c>
      <c r="I143" s="2">
        <v>21.0</v>
      </c>
      <c r="J143" s="2" t="s">
        <v>32</v>
      </c>
      <c r="K143" s="2" t="s">
        <v>26</v>
      </c>
      <c r="L143" s="2">
        <v>1.0</v>
      </c>
    </row>
    <row r="144">
      <c r="A144" s="2" t="s">
        <v>308</v>
      </c>
      <c r="B144" s="2" t="s">
        <v>309</v>
      </c>
      <c r="C144" s="3">
        <v>45080.0</v>
      </c>
      <c r="D144" s="3">
        <v>45092.0</v>
      </c>
      <c r="E144" s="2" t="s">
        <v>22</v>
      </c>
      <c r="F144" s="2">
        <v>0.5</v>
      </c>
      <c r="G144" s="2">
        <v>72.0</v>
      </c>
      <c r="H144" s="2">
        <v>1.0</v>
      </c>
      <c r="I144" s="2">
        <v>53.0</v>
      </c>
      <c r="J144" s="2" t="s">
        <v>35</v>
      </c>
      <c r="K144" s="2" t="s">
        <v>16</v>
      </c>
      <c r="L144" s="2">
        <v>0.0</v>
      </c>
    </row>
    <row r="145">
      <c r="A145" s="2" t="s">
        <v>310</v>
      </c>
      <c r="B145" s="2" t="s">
        <v>311</v>
      </c>
      <c r="C145" s="3">
        <v>44967.0</v>
      </c>
      <c r="D145" s="3">
        <v>44979.0</v>
      </c>
      <c r="E145" s="2" t="s">
        <v>38</v>
      </c>
      <c r="F145" s="2">
        <v>1.1</v>
      </c>
      <c r="G145" s="2">
        <v>25.0</v>
      </c>
      <c r="H145" s="2">
        <v>0.0</v>
      </c>
      <c r="I145" s="2">
        <v>43.0</v>
      </c>
      <c r="J145" s="2" t="s">
        <v>35</v>
      </c>
      <c r="K145" s="2" t="s">
        <v>16</v>
      </c>
      <c r="L145" s="2">
        <v>1.0</v>
      </c>
    </row>
    <row r="146">
      <c r="A146" s="2" t="s">
        <v>312</v>
      </c>
      <c r="B146" s="2" t="s">
        <v>313</v>
      </c>
      <c r="C146" s="3">
        <v>45187.0</v>
      </c>
      <c r="D146" s="3">
        <v>45199.0</v>
      </c>
      <c r="E146" s="2" t="s">
        <v>22</v>
      </c>
      <c r="F146" s="2">
        <v>3.8</v>
      </c>
      <c r="G146" s="2">
        <v>17.0</v>
      </c>
      <c r="H146" s="2">
        <v>1.0</v>
      </c>
      <c r="I146" s="2">
        <v>30.0</v>
      </c>
      <c r="J146" s="2" t="s">
        <v>15</v>
      </c>
      <c r="K146" s="2" t="s">
        <v>16</v>
      </c>
      <c r="L146" s="2">
        <v>0.0</v>
      </c>
    </row>
    <row r="147">
      <c r="A147" s="2" t="s">
        <v>314</v>
      </c>
      <c r="B147" s="2" t="s">
        <v>315</v>
      </c>
      <c r="C147" s="3">
        <v>45024.0</v>
      </c>
      <c r="D147" s="3">
        <v>45036.0</v>
      </c>
      <c r="E147" s="2" t="s">
        <v>38</v>
      </c>
      <c r="F147" s="2">
        <v>0.8</v>
      </c>
      <c r="G147" s="2">
        <v>62.0</v>
      </c>
      <c r="H147" s="2">
        <v>0.0</v>
      </c>
      <c r="I147" s="2">
        <v>51.0</v>
      </c>
      <c r="J147" s="2" t="s">
        <v>23</v>
      </c>
      <c r="K147" s="2" t="s">
        <v>47</v>
      </c>
      <c r="L147" s="2">
        <v>0.0</v>
      </c>
    </row>
    <row r="148">
      <c r="A148" s="2" t="s">
        <v>316</v>
      </c>
      <c r="B148" s="2" t="s">
        <v>317</v>
      </c>
      <c r="C148" s="3">
        <v>45013.0</v>
      </c>
      <c r="D148" s="3">
        <v>45025.0</v>
      </c>
      <c r="E148" s="2" t="s">
        <v>14</v>
      </c>
      <c r="F148" s="2">
        <v>4.0</v>
      </c>
      <c r="G148" s="2">
        <v>54.0</v>
      </c>
      <c r="H148" s="2">
        <v>0.0</v>
      </c>
      <c r="I148" s="2">
        <v>28.0</v>
      </c>
      <c r="J148" s="2" t="s">
        <v>23</v>
      </c>
      <c r="K148" s="2" t="s">
        <v>26</v>
      </c>
      <c r="L148" s="2">
        <v>1.0</v>
      </c>
    </row>
    <row r="149">
      <c r="A149" s="2" t="s">
        <v>318</v>
      </c>
      <c r="B149" s="2" t="s">
        <v>319</v>
      </c>
      <c r="C149" s="3">
        <v>45152.0</v>
      </c>
      <c r="D149" s="3">
        <v>45164.0</v>
      </c>
      <c r="E149" s="2" t="s">
        <v>14</v>
      </c>
      <c r="F149" s="2">
        <v>4.3</v>
      </c>
      <c r="G149" s="2">
        <v>78.0</v>
      </c>
      <c r="H149" s="2">
        <v>1.0</v>
      </c>
      <c r="I149" s="2">
        <v>31.0</v>
      </c>
      <c r="J149" s="2" t="s">
        <v>32</v>
      </c>
      <c r="K149" s="2" t="s">
        <v>16</v>
      </c>
      <c r="L149" s="2">
        <v>1.0</v>
      </c>
    </row>
    <row r="150">
      <c r="A150" s="2" t="s">
        <v>320</v>
      </c>
      <c r="B150" s="2" t="s">
        <v>321</v>
      </c>
      <c r="C150" s="3">
        <v>45137.0</v>
      </c>
      <c r="D150" s="3">
        <v>45149.0</v>
      </c>
      <c r="E150" s="2" t="s">
        <v>29</v>
      </c>
      <c r="F150" s="2">
        <v>2.8</v>
      </c>
      <c r="G150" s="2">
        <v>6.0</v>
      </c>
      <c r="H150" s="2">
        <v>1.0</v>
      </c>
      <c r="I150" s="2">
        <v>25.0</v>
      </c>
      <c r="J150" s="2" t="s">
        <v>35</v>
      </c>
      <c r="K150" s="2" t="s">
        <v>16</v>
      </c>
      <c r="L150" s="2">
        <v>1.0</v>
      </c>
    </row>
    <row r="151">
      <c r="A151" s="2" t="s">
        <v>322</v>
      </c>
      <c r="B151" s="2" t="s">
        <v>323</v>
      </c>
      <c r="C151" s="3">
        <v>45090.0</v>
      </c>
      <c r="D151" s="3">
        <v>45102.0</v>
      </c>
      <c r="E151" s="2" t="s">
        <v>38</v>
      </c>
      <c r="F151" s="2">
        <v>1.8</v>
      </c>
      <c r="G151" s="2">
        <v>13.0</v>
      </c>
      <c r="H151" s="2">
        <v>0.0</v>
      </c>
      <c r="I151" s="2">
        <v>42.0</v>
      </c>
      <c r="J151" s="2" t="s">
        <v>19</v>
      </c>
      <c r="K151" s="2" t="s">
        <v>16</v>
      </c>
      <c r="L151" s="2">
        <v>0.0</v>
      </c>
    </row>
    <row r="152">
      <c r="A152" s="2" t="s">
        <v>324</v>
      </c>
      <c r="B152" s="2" t="s">
        <v>325</v>
      </c>
      <c r="C152" s="3">
        <v>45167.0</v>
      </c>
      <c r="D152" s="3">
        <v>45179.0</v>
      </c>
      <c r="E152" s="2" t="s">
        <v>38</v>
      </c>
      <c r="F152" s="2">
        <v>5.0</v>
      </c>
      <c r="G152" s="2">
        <v>29.0</v>
      </c>
      <c r="H152" s="2">
        <v>1.0</v>
      </c>
      <c r="I152" s="2">
        <v>41.0</v>
      </c>
      <c r="J152" s="2" t="s">
        <v>32</v>
      </c>
      <c r="K152" s="2" t="s">
        <v>16</v>
      </c>
      <c r="L152" s="2">
        <v>1.0</v>
      </c>
    </row>
    <row r="153">
      <c r="A153" s="2" t="s">
        <v>326</v>
      </c>
      <c r="B153" s="2" t="s">
        <v>327</v>
      </c>
      <c r="C153" s="3">
        <v>45011.0</v>
      </c>
      <c r="D153" s="3">
        <v>45023.0</v>
      </c>
      <c r="E153" s="2" t="s">
        <v>38</v>
      </c>
      <c r="F153" s="2">
        <v>3.6</v>
      </c>
      <c r="G153" s="2">
        <v>23.0</v>
      </c>
      <c r="H153" s="2">
        <v>1.0</v>
      </c>
      <c r="I153" s="2">
        <v>32.0</v>
      </c>
      <c r="J153" s="2" t="s">
        <v>19</v>
      </c>
      <c r="K153" s="2" t="s">
        <v>26</v>
      </c>
      <c r="L153" s="2">
        <v>1.0</v>
      </c>
    </row>
    <row r="154">
      <c r="A154" s="2" t="s">
        <v>328</v>
      </c>
      <c r="B154" s="2" t="s">
        <v>329</v>
      </c>
      <c r="C154" s="3">
        <v>45241.0</v>
      </c>
      <c r="D154" s="3">
        <v>45253.0</v>
      </c>
      <c r="E154" s="2" t="s">
        <v>38</v>
      </c>
      <c r="F154" s="2">
        <v>1.6</v>
      </c>
      <c r="G154" s="2">
        <v>80.0</v>
      </c>
      <c r="H154" s="2">
        <v>0.0</v>
      </c>
      <c r="I154" s="2">
        <v>27.0</v>
      </c>
      <c r="J154" s="2" t="s">
        <v>35</v>
      </c>
      <c r="K154" s="2" t="s">
        <v>26</v>
      </c>
      <c r="L154" s="2">
        <v>1.0</v>
      </c>
    </row>
    <row r="155">
      <c r="A155" s="2" t="s">
        <v>330</v>
      </c>
      <c r="B155" s="2" t="s">
        <v>331</v>
      </c>
      <c r="C155" s="3">
        <v>45026.0</v>
      </c>
      <c r="D155" s="3">
        <v>45038.0</v>
      </c>
      <c r="E155" s="2" t="s">
        <v>38</v>
      </c>
      <c r="F155" s="2">
        <v>0.9</v>
      </c>
      <c r="G155" s="2">
        <v>95.0</v>
      </c>
      <c r="H155" s="2">
        <v>0.0</v>
      </c>
      <c r="I155" s="2">
        <v>40.0</v>
      </c>
      <c r="J155" s="2" t="s">
        <v>35</v>
      </c>
      <c r="K155" s="2" t="s">
        <v>47</v>
      </c>
      <c r="L155" s="2">
        <v>1.0</v>
      </c>
    </row>
    <row r="156">
      <c r="A156" s="2" t="s">
        <v>332</v>
      </c>
      <c r="B156" s="2" t="s">
        <v>333</v>
      </c>
      <c r="C156" s="3">
        <v>45030.0</v>
      </c>
      <c r="D156" s="3">
        <v>45042.0</v>
      </c>
      <c r="E156" s="2" t="s">
        <v>22</v>
      </c>
      <c r="F156" s="2">
        <v>1.0</v>
      </c>
      <c r="G156" s="2">
        <v>98.0</v>
      </c>
      <c r="H156" s="2">
        <v>1.0</v>
      </c>
      <c r="I156" s="2">
        <v>26.0</v>
      </c>
      <c r="J156" s="2" t="s">
        <v>15</v>
      </c>
      <c r="K156" s="2" t="s">
        <v>16</v>
      </c>
      <c r="L156" s="2">
        <v>1.0</v>
      </c>
    </row>
    <row r="157">
      <c r="A157" s="2" t="s">
        <v>334</v>
      </c>
      <c r="B157" s="2" t="s">
        <v>335</v>
      </c>
      <c r="C157" s="3">
        <v>44935.0</v>
      </c>
      <c r="D157" s="3">
        <v>44947.0</v>
      </c>
      <c r="E157" s="2" t="s">
        <v>14</v>
      </c>
      <c r="F157" s="2">
        <v>3.9</v>
      </c>
      <c r="G157" s="2">
        <v>4.0</v>
      </c>
      <c r="H157" s="2">
        <v>1.0</v>
      </c>
      <c r="I157" s="2">
        <v>14.0</v>
      </c>
      <c r="J157" s="2" t="s">
        <v>19</v>
      </c>
      <c r="K157" s="2" t="s">
        <v>26</v>
      </c>
      <c r="L157" s="2">
        <v>1.0</v>
      </c>
    </row>
    <row r="158">
      <c r="A158" s="2" t="s">
        <v>336</v>
      </c>
      <c r="B158" s="2" t="s">
        <v>337</v>
      </c>
      <c r="C158" s="3">
        <v>45048.0</v>
      </c>
      <c r="D158" s="3">
        <v>45060.0</v>
      </c>
      <c r="E158" s="2" t="s">
        <v>38</v>
      </c>
      <c r="F158" s="2">
        <v>3.4</v>
      </c>
      <c r="G158" s="2">
        <v>3.0</v>
      </c>
      <c r="H158" s="2">
        <v>0.0</v>
      </c>
      <c r="I158" s="2">
        <v>17.0</v>
      </c>
      <c r="J158" s="2" t="s">
        <v>23</v>
      </c>
      <c r="K158" s="2" t="s">
        <v>26</v>
      </c>
      <c r="L158" s="2">
        <v>0.0</v>
      </c>
    </row>
    <row r="159">
      <c r="A159" s="2" t="s">
        <v>338</v>
      </c>
      <c r="B159" s="2" t="s">
        <v>339</v>
      </c>
      <c r="C159" s="3">
        <v>44953.0</v>
      </c>
      <c r="D159" s="3">
        <v>44965.0</v>
      </c>
      <c r="E159" s="2" t="s">
        <v>29</v>
      </c>
      <c r="F159" s="2">
        <v>2.4</v>
      </c>
      <c r="G159" s="2">
        <v>97.0</v>
      </c>
      <c r="H159" s="2">
        <v>1.0</v>
      </c>
      <c r="I159" s="2">
        <v>24.0</v>
      </c>
      <c r="J159" s="2" t="s">
        <v>23</v>
      </c>
      <c r="K159" s="2" t="s">
        <v>16</v>
      </c>
      <c r="L159" s="2">
        <v>1.0</v>
      </c>
    </row>
    <row r="160">
      <c r="A160" s="2" t="s">
        <v>340</v>
      </c>
      <c r="B160" s="2" t="s">
        <v>341</v>
      </c>
      <c r="C160" s="3">
        <v>45031.0</v>
      </c>
      <c r="D160" s="3">
        <v>45043.0</v>
      </c>
      <c r="E160" s="2" t="s">
        <v>38</v>
      </c>
      <c r="F160" s="2">
        <v>4.6</v>
      </c>
      <c r="G160" s="2">
        <v>27.0</v>
      </c>
      <c r="H160" s="2">
        <v>1.0</v>
      </c>
      <c r="I160" s="2">
        <v>46.0</v>
      </c>
      <c r="J160" s="2" t="s">
        <v>19</v>
      </c>
      <c r="K160" s="2" t="s">
        <v>16</v>
      </c>
      <c r="L160" s="2">
        <v>0.0</v>
      </c>
    </row>
    <row r="161">
      <c r="A161" s="2" t="s">
        <v>342</v>
      </c>
      <c r="B161" s="2" t="s">
        <v>343</v>
      </c>
      <c r="C161" s="3">
        <v>45022.0</v>
      </c>
      <c r="D161" s="3">
        <v>45034.0</v>
      </c>
      <c r="E161" s="2" t="s">
        <v>14</v>
      </c>
      <c r="F161" s="2">
        <v>2.8</v>
      </c>
      <c r="G161" s="2">
        <v>11.0</v>
      </c>
      <c r="H161" s="2">
        <v>0.0</v>
      </c>
      <c r="I161" s="2">
        <v>52.0</v>
      </c>
      <c r="J161" s="2" t="s">
        <v>35</v>
      </c>
      <c r="K161" s="2" t="s">
        <v>47</v>
      </c>
      <c r="L161" s="2">
        <v>0.0</v>
      </c>
    </row>
    <row r="162">
      <c r="A162" s="2" t="s">
        <v>344</v>
      </c>
      <c r="B162" s="2" t="s">
        <v>345</v>
      </c>
      <c r="C162" s="3">
        <v>44977.0</v>
      </c>
      <c r="D162" s="3">
        <v>44989.0</v>
      </c>
      <c r="E162" s="2" t="s">
        <v>14</v>
      </c>
      <c r="F162" s="2">
        <v>4.4</v>
      </c>
      <c r="G162" s="2">
        <v>51.0</v>
      </c>
      <c r="H162" s="2">
        <v>1.0</v>
      </c>
      <c r="I162" s="2">
        <v>33.0</v>
      </c>
      <c r="J162" s="2" t="s">
        <v>19</v>
      </c>
      <c r="K162" s="2" t="s">
        <v>47</v>
      </c>
      <c r="L162" s="2">
        <v>0.0</v>
      </c>
    </row>
    <row r="163">
      <c r="A163" s="2" t="s">
        <v>346</v>
      </c>
      <c r="B163" s="2" t="s">
        <v>347</v>
      </c>
      <c r="C163" s="3">
        <v>45156.0</v>
      </c>
      <c r="D163" s="3">
        <v>45168.0</v>
      </c>
      <c r="E163" s="2" t="s">
        <v>38</v>
      </c>
      <c r="F163" s="2">
        <v>1.4</v>
      </c>
      <c r="G163" s="2">
        <v>67.0</v>
      </c>
      <c r="H163" s="2">
        <v>0.0</v>
      </c>
      <c r="I163" s="2">
        <v>16.0</v>
      </c>
      <c r="J163" s="2" t="s">
        <v>32</v>
      </c>
      <c r="K163" s="2" t="s">
        <v>16</v>
      </c>
      <c r="L163" s="2">
        <v>1.0</v>
      </c>
    </row>
    <row r="164">
      <c r="A164" s="2" t="s">
        <v>348</v>
      </c>
      <c r="B164" s="2" t="s">
        <v>349</v>
      </c>
      <c r="C164" s="3">
        <v>44946.0</v>
      </c>
      <c r="D164" s="3">
        <v>44958.0</v>
      </c>
      <c r="E164" s="2" t="s">
        <v>29</v>
      </c>
      <c r="F164" s="2">
        <v>4.9</v>
      </c>
      <c r="G164" s="2">
        <v>77.0</v>
      </c>
      <c r="H164" s="2">
        <v>1.0</v>
      </c>
      <c r="I164" s="2">
        <v>18.0</v>
      </c>
      <c r="J164" s="2" t="s">
        <v>19</v>
      </c>
      <c r="K164" s="2" t="s">
        <v>16</v>
      </c>
      <c r="L164" s="2">
        <v>1.0</v>
      </c>
    </row>
    <row r="165">
      <c r="A165" s="2" t="s">
        <v>350</v>
      </c>
      <c r="B165" s="2" t="s">
        <v>351</v>
      </c>
      <c r="C165" s="3">
        <v>45179.0</v>
      </c>
      <c r="D165" s="3">
        <v>45191.0</v>
      </c>
      <c r="E165" s="2" t="s">
        <v>38</v>
      </c>
      <c r="F165" s="2">
        <v>1.8</v>
      </c>
      <c r="G165" s="2">
        <v>89.0</v>
      </c>
      <c r="H165" s="2">
        <v>1.0</v>
      </c>
      <c r="I165" s="2">
        <v>22.0</v>
      </c>
      <c r="J165" s="2" t="s">
        <v>35</v>
      </c>
      <c r="K165" s="2" t="s">
        <v>26</v>
      </c>
      <c r="L165" s="2">
        <v>1.0</v>
      </c>
    </row>
    <row r="166">
      <c r="A166" s="2" t="s">
        <v>352</v>
      </c>
      <c r="B166" s="2" t="s">
        <v>353</v>
      </c>
      <c r="C166" s="3">
        <v>45214.0</v>
      </c>
      <c r="D166" s="3">
        <v>45226.0</v>
      </c>
      <c r="E166" s="2" t="s">
        <v>22</v>
      </c>
      <c r="F166" s="2">
        <v>2.7</v>
      </c>
      <c r="G166" s="2">
        <v>84.0</v>
      </c>
      <c r="H166" s="2">
        <v>0.0</v>
      </c>
      <c r="I166" s="2">
        <v>54.0</v>
      </c>
      <c r="J166" s="2" t="s">
        <v>35</v>
      </c>
      <c r="K166" s="2" t="s">
        <v>47</v>
      </c>
      <c r="L166" s="2">
        <v>1.0</v>
      </c>
    </row>
    <row r="167">
      <c r="A167" s="2" t="s">
        <v>354</v>
      </c>
      <c r="B167" s="2" t="s">
        <v>355</v>
      </c>
      <c r="C167" s="3">
        <v>45220.0</v>
      </c>
      <c r="D167" s="3">
        <v>45232.0</v>
      </c>
      <c r="E167" s="2" t="s">
        <v>29</v>
      </c>
      <c r="F167" s="2">
        <v>0.1</v>
      </c>
      <c r="G167" s="2">
        <v>18.0</v>
      </c>
      <c r="H167" s="2">
        <v>1.0</v>
      </c>
      <c r="I167" s="2">
        <v>48.0</v>
      </c>
      <c r="J167" s="2" t="s">
        <v>23</v>
      </c>
      <c r="K167" s="2" t="s">
        <v>47</v>
      </c>
      <c r="L167" s="2">
        <v>0.0</v>
      </c>
    </row>
    <row r="168">
      <c r="A168" s="2" t="s">
        <v>356</v>
      </c>
      <c r="B168" s="2" t="s">
        <v>357</v>
      </c>
      <c r="C168" s="3">
        <v>45066.0</v>
      </c>
      <c r="D168" s="3">
        <v>45078.0</v>
      </c>
      <c r="E168" s="2" t="s">
        <v>38</v>
      </c>
      <c r="F168" s="2">
        <v>2.0</v>
      </c>
      <c r="G168" s="2">
        <v>63.0</v>
      </c>
      <c r="H168" s="2">
        <v>1.0</v>
      </c>
      <c r="I168" s="2">
        <v>35.0</v>
      </c>
      <c r="J168" s="2" t="s">
        <v>32</v>
      </c>
      <c r="K168" s="2" t="s">
        <v>26</v>
      </c>
      <c r="L168" s="2">
        <v>0.0</v>
      </c>
    </row>
    <row r="169">
      <c r="A169" s="2" t="s">
        <v>358</v>
      </c>
      <c r="B169" s="2" t="s">
        <v>359</v>
      </c>
      <c r="C169" s="3">
        <v>45262.0</v>
      </c>
      <c r="D169" s="3">
        <v>45274.0</v>
      </c>
      <c r="E169" s="2" t="s">
        <v>29</v>
      </c>
      <c r="F169" s="2">
        <v>5.0</v>
      </c>
      <c r="G169" s="2">
        <v>93.0</v>
      </c>
      <c r="H169" s="2">
        <v>1.0</v>
      </c>
      <c r="I169" s="2">
        <v>19.0</v>
      </c>
      <c r="J169" s="2" t="s">
        <v>19</v>
      </c>
      <c r="K169" s="2" t="s">
        <v>16</v>
      </c>
      <c r="L169" s="2">
        <v>1.0</v>
      </c>
    </row>
    <row r="170">
      <c r="A170" s="2" t="s">
        <v>360</v>
      </c>
      <c r="B170" s="2" t="s">
        <v>361</v>
      </c>
      <c r="C170" s="3">
        <v>45236.0</v>
      </c>
      <c r="D170" s="3">
        <v>45248.0</v>
      </c>
      <c r="E170" s="2" t="s">
        <v>38</v>
      </c>
      <c r="F170" s="2">
        <v>0.3</v>
      </c>
      <c r="G170" s="2">
        <v>38.0</v>
      </c>
      <c r="H170" s="2">
        <v>1.0</v>
      </c>
      <c r="I170" s="2">
        <v>49.0</v>
      </c>
      <c r="J170" s="2" t="s">
        <v>35</v>
      </c>
      <c r="K170" s="2" t="s">
        <v>47</v>
      </c>
      <c r="L170" s="2">
        <v>0.0</v>
      </c>
    </row>
    <row r="171">
      <c r="A171" s="2" t="s">
        <v>362</v>
      </c>
      <c r="B171" s="2" t="s">
        <v>363</v>
      </c>
      <c r="C171" s="3">
        <v>45059.0</v>
      </c>
      <c r="D171" s="3">
        <v>45071.0</v>
      </c>
      <c r="E171" s="2" t="s">
        <v>29</v>
      </c>
      <c r="F171" s="2">
        <v>4.5</v>
      </c>
      <c r="G171" s="2">
        <v>76.0</v>
      </c>
      <c r="H171" s="2">
        <v>0.0</v>
      </c>
      <c r="I171" s="2">
        <v>12.0</v>
      </c>
      <c r="J171" s="2" t="s">
        <v>23</v>
      </c>
      <c r="K171" s="2" t="s">
        <v>47</v>
      </c>
      <c r="L171" s="2">
        <v>0.0</v>
      </c>
    </row>
    <row r="172">
      <c r="A172" s="2" t="s">
        <v>364</v>
      </c>
      <c r="B172" s="2" t="s">
        <v>365</v>
      </c>
      <c r="C172" s="3">
        <v>45169.0</v>
      </c>
      <c r="D172" s="3">
        <v>45181.0</v>
      </c>
      <c r="E172" s="2" t="s">
        <v>29</v>
      </c>
      <c r="F172" s="2">
        <v>4.8</v>
      </c>
      <c r="G172" s="2">
        <v>28.0</v>
      </c>
      <c r="H172" s="2">
        <v>0.0</v>
      </c>
      <c r="I172" s="2">
        <v>39.0</v>
      </c>
      <c r="J172" s="2" t="s">
        <v>35</v>
      </c>
      <c r="K172" s="2" t="s">
        <v>16</v>
      </c>
      <c r="L172" s="2">
        <v>1.0</v>
      </c>
    </row>
    <row r="173">
      <c r="A173" s="2" t="s">
        <v>366</v>
      </c>
      <c r="B173" s="2" t="s">
        <v>367</v>
      </c>
      <c r="C173" s="3">
        <v>44952.0</v>
      </c>
      <c r="D173" s="3">
        <v>44964.0</v>
      </c>
      <c r="E173" s="2" t="s">
        <v>14</v>
      </c>
      <c r="F173" s="2">
        <v>4.2</v>
      </c>
      <c r="G173" s="2">
        <v>22.0</v>
      </c>
      <c r="H173" s="2">
        <v>1.0</v>
      </c>
      <c r="I173" s="2">
        <v>23.0</v>
      </c>
      <c r="J173" s="2" t="s">
        <v>15</v>
      </c>
      <c r="K173" s="2" t="s">
        <v>47</v>
      </c>
      <c r="L173" s="2">
        <v>1.0</v>
      </c>
    </row>
    <row r="174">
      <c r="A174" s="2" t="s">
        <v>368</v>
      </c>
      <c r="B174" s="2" t="s">
        <v>369</v>
      </c>
      <c r="C174" s="3">
        <v>45003.0</v>
      </c>
      <c r="D174" s="3">
        <v>45015.0</v>
      </c>
      <c r="E174" s="2" t="s">
        <v>29</v>
      </c>
      <c r="F174" s="2">
        <v>1.3</v>
      </c>
      <c r="G174" s="2">
        <v>64.0</v>
      </c>
      <c r="H174" s="2">
        <v>0.0</v>
      </c>
      <c r="I174" s="2">
        <v>36.0</v>
      </c>
      <c r="J174" s="2" t="s">
        <v>32</v>
      </c>
      <c r="K174" s="2" t="s">
        <v>26</v>
      </c>
      <c r="L174" s="2">
        <v>1.0</v>
      </c>
    </row>
    <row r="175">
      <c r="A175" s="2" t="s">
        <v>370</v>
      </c>
      <c r="B175" s="2" t="s">
        <v>371</v>
      </c>
      <c r="C175" s="3">
        <v>45183.0</v>
      </c>
      <c r="D175" s="3">
        <v>45195.0</v>
      </c>
      <c r="E175" s="2" t="s">
        <v>29</v>
      </c>
      <c r="F175" s="2">
        <v>4.3</v>
      </c>
      <c r="G175" s="2">
        <v>91.0</v>
      </c>
      <c r="H175" s="2">
        <v>1.0</v>
      </c>
      <c r="I175" s="2">
        <v>34.0</v>
      </c>
      <c r="J175" s="2" t="s">
        <v>32</v>
      </c>
      <c r="K175" s="2" t="s">
        <v>26</v>
      </c>
      <c r="L175" s="2">
        <v>0.0</v>
      </c>
    </row>
    <row r="176">
      <c r="A176" s="2" t="s">
        <v>372</v>
      </c>
      <c r="B176" s="2" t="s">
        <v>373</v>
      </c>
      <c r="C176" s="3">
        <v>45279.0</v>
      </c>
      <c r="D176" s="3">
        <v>45291.0</v>
      </c>
      <c r="E176" s="2" t="s">
        <v>38</v>
      </c>
      <c r="F176" s="2">
        <v>4.7</v>
      </c>
      <c r="G176" s="2">
        <v>2.0</v>
      </c>
      <c r="H176" s="2">
        <v>0.0</v>
      </c>
      <c r="I176" s="2">
        <v>13.0</v>
      </c>
      <c r="J176" s="2" t="s">
        <v>15</v>
      </c>
      <c r="K176" s="2" t="s">
        <v>16</v>
      </c>
      <c r="L176" s="2">
        <v>1.0</v>
      </c>
    </row>
    <row r="177">
      <c r="A177" s="2" t="s">
        <v>374</v>
      </c>
      <c r="B177" s="2" t="s">
        <v>375</v>
      </c>
      <c r="C177" s="3">
        <v>45154.0</v>
      </c>
      <c r="D177" s="3">
        <v>45166.0</v>
      </c>
      <c r="E177" s="2" t="s">
        <v>14</v>
      </c>
      <c r="F177" s="2">
        <v>0.8</v>
      </c>
      <c r="G177" s="2">
        <v>48.0</v>
      </c>
      <c r="H177" s="2">
        <v>1.0</v>
      </c>
      <c r="I177" s="2">
        <v>15.0</v>
      </c>
      <c r="J177" s="2" t="s">
        <v>15</v>
      </c>
      <c r="K177" s="2" t="s">
        <v>16</v>
      </c>
      <c r="L177" s="2">
        <v>1.0</v>
      </c>
    </row>
    <row r="178">
      <c r="A178" s="2" t="s">
        <v>376</v>
      </c>
      <c r="B178" s="2" t="s">
        <v>377</v>
      </c>
      <c r="C178" s="3">
        <v>45287.0</v>
      </c>
      <c r="D178" s="3">
        <v>45299.0</v>
      </c>
      <c r="E178" s="2" t="s">
        <v>38</v>
      </c>
      <c r="F178" s="2">
        <v>2.9</v>
      </c>
      <c r="G178" s="2">
        <v>53.0</v>
      </c>
      <c r="H178" s="2">
        <v>0.0</v>
      </c>
      <c r="I178" s="2">
        <v>37.0</v>
      </c>
      <c r="J178" s="2" t="s">
        <v>35</v>
      </c>
      <c r="K178" s="2" t="s">
        <v>16</v>
      </c>
      <c r="L178" s="2">
        <v>1.0</v>
      </c>
    </row>
    <row r="179">
      <c r="A179" s="2" t="s">
        <v>378</v>
      </c>
      <c r="B179" s="2" t="s">
        <v>379</v>
      </c>
      <c r="C179" s="3">
        <v>45010.0</v>
      </c>
      <c r="D179" s="3">
        <v>45022.0</v>
      </c>
      <c r="E179" s="2" t="s">
        <v>38</v>
      </c>
      <c r="F179" s="2">
        <v>0.0</v>
      </c>
      <c r="G179" s="2">
        <v>37.0</v>
      </c>
      <c r="H179" s="2">
        <v>1.0</v>
      </c>
      <c r="I179" s="2">
        <v>47.0</v>
      </c>
      <c r="J179" s="2" t="s">
        <v>23</v>
      </c>
      <c r="K179" s="2" t="s">
        <v>26</v>
      </c>
      <c r="L179" s="2">
        <v>0.0</v>
      </c>
    </row>
    <row r="180">
      <c r="A180" s="2" t="s">
        <v>380</v>
      </c>
      <c r="B180" s="2" t="s">
        <v>381</v>
      </c>
      <c r="C180" s="3">
        <v>45050.0</v>
      </c>
      <c r="D180" s="3">
        <v>45062.0</v>
      </c>
      <c r="E180" s="2" t="s">
        <v>22</v>
      </c>
      <c r="F180" s="2">
        <v>1.6</v>
      </c>
      <c r="G180" s="2">
        <v>20.0</v>
      </c>
      <c r="H180" s="2">
        <v>1.0</v>
      </c>
      <c r="I180" s="2">
        <v>38.0</v>
      </c>
      <c r="J180" s="2" t="s">
        <v>35</v>
      </c>
      <c r="K180" s="2" t="s">
        <v>16</v>
      </c>
      <c r="L180" s="2">
        <v>0.0</v>
      </c>
    </row>
    <row r="181">
      <c r="A181" s="2" t="s">
        <v>382</v>
      </c>
      <c r="B181" s="2" t="s">
        <v>383</v>
      </c>
      <c r="C181" s="3">
        <v>45026.0</v>
      </c>
      <c r="D181" s="3">
        <v>45038.0</v>
      </c>
      <c r="E181" s="2" t="s">
        <v>38</v>
      </c>
      <c r="F181" s="2">
        <v>1.1</v>
      </c>
      <c r="G181" s="2">
        <v>16.0</v>
      </c>
      <c r="H181" s="2">
        <v>0.0</v>
      </c>
      <c r="I181" s="2">
        <v>56.0</v>
      </c>
      <c r="J181" s="2" t="s">
        <v>35</v>
      </c>
      <c r="K181" s="2" t="s">
        <v>16</v>
      </c>
      <c r="L181" s="2">
        <v>0.0</v>
      </c>
    </row>
    <row r="182">
      <c r="A182" s="2" t="s">
        <v>384</v>
      </c>
      <c r="B182" s="2" t="s">
        <v>385</v>
      </c>
      <c r="C182" s="3">
        <v>45276.0</v>
      </c>
      <c r="D182" s="3">
        <v>45288.0</v>
      </c>
      <c r="E182" s="2" t="s">
        <v>22</v>
      </c>
      <c r="F182" s="2">
        <v>3.6</v>
      </c>
      <c r="G182" s="2">
        <v>73.0</v>
      </c>
      <c r="H182" s="2">
        <v>0.0</v>
      </c>
      <c r="I182" s="2">
        <v>54.0</v>
      </c>
      <c r="J182" s="2" t="s">
        <v>19</v>
      </c>
      <c r="K182" s="2" t="s">
        <v>26</v>
      </c>
      <c r="L182" s="2">
        <v>0.0</v>
      </c>
    </row>
    <row r="183">
      <c r="A183" s="2" t="s">
        <v>386</v>
      </c>
      <c r="B183" s="2" t="s">
        <v>387</v>
      </c>
      <c r="C183" s="3">
        <v>45142.0</v>
      </c>
      <c r="D183" s="3">
        <v>45154.0</v>
      </c>
      <c r="E183" s="2" t="s">
        <v>38</v>
      </c>
      <c r="F183" s="2">
        <v>1.7</v>
      </c>
      <c r="G183" s="2">
        <v>1.0</v>
      </c>
      <c r="H183" s="2">
        <v>1.0</v>
      </c>
      <c r="I183" s="2">
        <v>45.0</v>
      </c>
      <c r="J183" s="2" t="s">
        <v>19</v>
      </c>
      <c r="K183" s="2" t="s">
        <v>47</v>
      </c>
      <c r="L183" s="2">
        <v>0.0</v>
      </c>
    </row>
    <row r="184">
      <c r="A184" s="2" t="s">
        <v>388</v>
      </c>
      <c r="B184" s="2" t="s">
        <v>389</v>
      </c>
      <c r="C184" s="3">
        <v>45208.0</v>
      </c>
      <c r="D184" s="3">
        <v>45220.0</v>
      </c>
      <c r="E184" s="2" t="s">
        <v>14</v>
      </c>
      <c r="F184" s="2">
        <v>0.5</v>
      </c>
      <c r="G184" s="2">
        <v>71.0</v>
      </c>
      <c r="H184" s="2">
        <v>0.0</v>
      </c>
      <c r="I184" s="2">
        <v>21.0</v>
      </c>
      <c r="J184" s="2" t="s">
        <v>15</v>
      </c>
      <c r="K184" s="2" t="s">
        <v>16</v>
      </c>
      <c r="L184" s="2">
        <v>1.0</v>
      </c>
    </row>
    <row r="185">
      <c r="A185" s="2" t="s">
        <v>390</v>
      </c>
      <c r="B185" s="2" t="s">
        <v>391</v>
      </c>
      <c r="C185" s="3">
        <v>45139.0</v>
      </c>
      <c r="D185" s="3">
        <v>45151.0</v>
      </c>
      <c r="E185" s="2" t="s">
        <v>29</v>
      </c>
      <c r="F185" s="2">
        <v>3.8</v>
      </c>
      <c r="G185" s="2">
        <v>55.0</v>
      </c>
      <c r="H185" s="2">
        <v>1.0</v>
      </c>
      <c r="I185" s="2">
        <v>36.0</v>
      </c>
      <c r="J185" s="2" t="s">
        <v>23</v>
      </c>
      <c r="K185" s="2" t="s">
        <v>26</v>
      </c>
      <c r="L185" s="2">
        <v>0.0</v>
      </c>
    </row>
    <row r="186">
      <c r="A186" s="2" t="s">
        <v>392</v>
      </c>
      <c r="B186" s="2" t="s">
        <v>393</v>
      </c>
      <c r="C186" s="3">
        <v>45255.0</v>
      </c>
      <c r="D186" s="3">
        <v>45267.0</v>
      </c>
      <c r="E186" s="2" t="s">
        <v>14</v>
      </c>
      <c r="F186" s="2">
        <v>4.0</v>
      </c>
      <c r="G186" s="2">
        <v>59.0</v>
      </c>
      <c r="H186" s="2">
        <v>0.0</v>
      </c>
      <c r="I186" s="2">
        <v>26.0</v>
      </c>
      <c r="J186" s="2" t="s">
        <v>19</v>
      </c>
      <c r="K186" s="2" t="s">
        <v>26</v>
      </c>
      <c r="L186" s="2">
        <v>1.0</v>
      </c>
    </row>
    <row r="187">
      <c r="A187" s="2" t="s">
        <v>394</v>
      </c>
      <c r="B187" s="2" t="s">
        <v>395</v>
      </c>
      <c r="C187" s="3">
        <v>44965.0</v>
      </c>
      <c r="D187" s="3">
        <v>44977.0</v>
      </c>
      <c r="E187" s="2" t="s">
        <v>22</v>
      </c>
      <c r="F187" s="2">
        <v>4.1</v>
      </c>
      <c r="G187" s="2">
        <v>86.0</v>
      </c>
      <c r="H187" s="2">
        <v>0.0</v>
      </c>
      <c r="I187" s="2">
        <v>52.0</v>
      </c>
      <c r="J187" s="2" t="s">
        <v>15</v>
      </c>
      <c r="K187" s="2" t="s">
        <v>16</v>
      </c>
      <c r="L187" s="2">
        <v>1.0</v>
      </c>
    </row>
    <row r="188">
      <c r="A188" s="2" t="s">
        <v>396</v>
      </c>
      <c r="B188" s="2" t="s">
        <v>397</v>
      </c>
      <c r="C188" s="3">
        <v>45158.0</v>
      </c>
      <c r="D188" s="3">
        <v>45170.0</v>
      </c>
      <c r="E188" s="2" t="s">
        <v>29</v>
      </c>
      <c r="F188" s="2">
        <v>0.7</v>
      </c>
      <c r="G188" s="2">
        <v>7.0</v>
      </c>
      <c r="H188" s="2">
        <v>1.0</v>
      </c>
      <c r="I188" s="2">
        <v>49.0</v>
      </c>
      <c r="J188" s="2" t="s">
        <v>35</v>
      </c>
      <c r="K188" s="2" t="s">
        <v>47</v>
      </c>
      <c r="L188" s="2">
        <v>1.0</v>
      </c>
    </row>
    <row r="189">
      <c r="A189" s="2" t="s">
        <v>398</v>
      </c>
      <c r="B189" s="2" t="s">
        <v>399</v>
      </c>
      <c r="C189" s="3">
        <v>45233.0</v>
      </c>
      <c r="D189" s="3">
        <v>45245.0</v>
      </c>
      <c r="E189" s="2" t="s">
        <v>38</v>
      </c>
      <c r="F189" s="2">
        <v>2.6</v>
      </c>
      <c r="G189" s="2">
        <v>40.0</v>
      </c>
      <c r="H189" s="2">
        <v>1.0</v>
      </c>
      <c r="I189" s="2">
        <v>23.0</v>
      </c>
      <c r="J189" s="2" t="s">
        <v>19</v>
      </c>
      <c r="K189" s="2" t="s">
        <v>26</v>
      </c>
      <c r="L189" s="2">
        <v>1.0</v>
      </c>
    </row>
    <row r="190">
      <c r="A190" s="2" t="s">
        <v>400</v>
      </c>
      <c r="B190" s="2" t="s">
        <v>401</v>
      </c>
      <c r="C190" s="3">
        <v>45070.0</v>
      </c>
      <c r="D190" s="3">
        <v>45082.0</v>
      </c>
      <c r="E190" s="2" t="s">
        <v>14</v>
      </c>
      <c r="F190" s="2">
        <v>2.1</v>
      </c>
      <c r="G190" s="2">
        <v>24.0</v>
      </c>
      <c r="H190" s="2">
        <v>1.0</v>
      </c>
      <c r="I190" s="2">
        <v>50.0</v>
      </c>
      <c r="J190" s="2" t="s">
        <v>35</v>
      </c>
      <c r="K190" s="2" t="s">
        <v>26</v>
      </c>
      <c r="L190" s="2">
        <v>0.0</v>
      </c>
    </row>
    <row r="191">
      <c r="A191" s="2" t="s">
        <v>402</v>
      </c>
      <c r="B191" s="2" t="s">
        <v>403</v>
      </c>
      <c r="C191" s="3">
        <v>45130.0</v>
      </c>
      <c r="D191" s="3">
        <v>45142.0</v>
      </c>
      <c r="E191" s="2" t="s">
        <v>38</v>
      </c>
      <c r="F191" s="2">
        <v>1.9</v>
      </c>
      <c r="G191" s="2">
        <v>26.0</v>
      </c>
      <c r="H191" s="2">
        <v>1.0</v>
      </c>
      <c r="I191" s="2">
        <v>56.0</v>
      </c>
      <c r="J191" s="2" t="s">
        <v>32</v>
      </c>
      <c r="K191" s="2" t="s">
        <v>26</v>
      </c>
      <c r="L191" s="2">
        <v>0.0</v>
      </c>
    </row>
    <row r="192">
      <c r="A192" s="2" t="s">
        <v>404</v>
      </c>
      <c r="B192" s="2" t="s">
        <v>405</v>
      </c>
      <c r="C192" s="3">
        <v>45209.0</v>
      </c>
      <c r="D192" s="3">
        <v>45221.0</v>
      </c>
      <c r="E192" s="2" t="s">
        <v>38</v>
      </c>
      <c r="F192" s="2">
        <v>0.2</v>
      </c>
      <c r="G192" s="2">
        <v>83.0</v>
      </c>
      <c r="H192" s="2">
        <v>1.0</v>
      </c>
      <c r="I192" s="2">
        <v>33.0</v>
      </c>
      <c r="J192" s="2" t="s">
        <v>19</v>
      </c>
      <c r="K192" s="2" t="s">
        <v>26</v>
      </c>
      <c r="L192" s="2">
        <v>1.0</v>
      </c>
    </row>
    <row r="193">
      <c r="A193" s="2" t="s">
        <v>406</v>
      </c>
      <c r="B193" s="2" t="s">
        <v>407</v>
      </c>
      <c r="C193" s="3">
        <v>45002.0</v>
      </c>
      <c r="D193" s="3">
        <v>45014.0</v>
      </c>
      <c r="E193" s="2" t="s">
        <v>38</v>
      </c>
      <c r="F193" s="2">
        <v>3.5</v>
      </c>
      <c r="G193" s="2">
        <v>81.0</v>
      </c>
      <c r="H193" s="2">
        <v>1.0</v>
      </c>
      <c r="I193" s="2">
        <v>53.0</v>
      </c>
      <c r="J193" s="2" t="s">
        <v>35</v>
      </c>
      <c r="K193" s="2" t="s">
        <v>16</v>
      </c>
      <c r="L193" s="2">
        <v>1.0</v>
      </c>
    </row>
    <row r="194">
      <c r="A194" s="2" t="s">
        <v>408</v>
      </c>
      <c r="B194" s="2" t="s">
        <v>409</v>
      </c>
      <c r="C194" s="3">
        <v>45209.0</v>
      </c>
      <c r="D194" s="3">
        <v>45221.0</v>
      </c>
      <c r="E194" s="2" t="s">
        <v>38</v>
      </c>
      <c r="F194" s="2">
        <v>3.7</v>
      </c>
      <c r="G194" s="2">
        <v>75.0</v>
      </c>
      <c r="H194" s="2">
        <v>0.0</v>
      </c>
      <c r="I194" s="2">
        <v>31.0</v>
      </c>
      <c r="J194" s="2" t="s">
        <v>35</v>
      </c>
      <c r="K194" s="2" t="s">
        <v>26</v>
      </c>
      <c r="L194" s="2">
        <v>1.0</v>
      </c>
    </row>
    <row r="195">
      <c r="A195" s="2" t="s">
        <v>410</v>
      </c>
      <c r="B195" s="2" t="s">
        <v>411</v>
      </c>
      <c r="C195" s="3">
        <v>45211.0</v>
      </c>
      <c r="D195" s="3">
        <v>45223.0</v>
      </c>
      <c r="E195" s="2" t="s">
        <v>29</v>
      </c>
      <c r="F195" s="2">
        <v>2.3</v>
      </c>
      <c r="G195" s="2">
        <v>60.0</v>
      </c>
      <c r="H195" s="2">
        <v>0.0</v>
      </c>
      <c r="I195" s="2">
        <v>32.0</v>
      </c>
      <c r="J195" s="2" t="s">
        <v>32</v>
      </c>
      <c r="K195" s="2" t="s">
        <v>16</v>
      </c>
      <c r="L195" s="2">
        <v>0.0</v>
      </c>
    </row>
    <row r="196">
      <c r="A196" s="2" t="s">
        <v>412</v>
      </c>
      <c r="B196" s="2" t="s">
        <v>413</v>
      </c>
      <c r="C196" s="3">
        <v>45252.0</v>
      </c>
      <c r="D196" s="3">
        <v>45264.0</v>
      </c>
      <c r="E196" s="2" t="s">
        <v>29</v>
      </c>
      <c r="F196" s="2">
        <v>1.5</v>
      </c>
      <c r="G196" s="2">
        <v>34.0</v>
      </c>
      <c r="H196" s="2">
        <v>0.0</v>
      </c>
      <c r="I196" s="2">
        <v>20.0</v>
      </c>
      <c r="J196" s="2" t="s">
        <v>35</v>
      </c>
      <c r="K196" s="2" t="s">
        <v>26</v>
      </c>
      <c r="L196" s="2">
        <v>1.0</v>
      </c>
    </row>
    <row r="197">
      <c r="A197" s="2" t="s">
        <v>414</v>
      </c>
      <c r="B197" s="2" t="s">
        <v>415</v>
      </c>
      <c r="C197" s="3">
        <v>44984.0</v>
      </c>
      <c r="D197" s="3">
        <v>44996.0</v>
      </c>
      <c r="E197" s="2" t="s">
        <v>22</v>
      </c>
      <c r="F197" s="2">
        <v>1.2</v>
      </c>
      <c r="G197" s="2">
        <v>96.0</v>
      </c>
      <c r="H197" s="2">
        <v>1.0</v>
      </c>
      <c r="I197" s="2">
        <v>28.0</v>
      </c>
      <c r="J197" s="2" t="s">
        <v>23</v>
      </c>
      <c r="K197" s="2" t="s">
        <v>26</v>
      </c>
      <c r="L197" s="2">
        <v>1.0</v>
      </c>
    </row>
    <row r="198">
      <c r="A198" s="2" t="s">
        <v>416</v>
      </c>
      <c r="B198" s="2" t="s">
        <v>417</v>
      </c>
      <c r="C198" s="3">
        <v>44940.0</v>
      </c>
      <c r="D198" s="3">
        <v>44952.0</v>
      </c>
      <c r="E198" s="2" t="s">
        <v>22</v>
      </c>
      <c r="F198" s="2">
        <v>2.2</v>
      </c>
      <c r="G198" s="2">
        <v>57.0</v>
      </c>
      <c r="H198" s="2">
        <v>1.0</v>
      </c>
      <c r="I198" s="2">
        <v>22.0</v>
      </c>
      <c r="J198" s="2" t="s">
        <v>35</v>
      </c>
      <c r="K198" s="2" t="s">
        <v>16</v>
      </c>
      <c r="L198" s="2">
        <v>0.0</v>
      </c>
    </row>
    <row r="199">
      <c r="A199" s="2" t="s">
        <v>418</v>
      </c>
      <c r="B199" s="2" t="s">
        <v>419</v>
      </c>
      <c r="C199" s="3">
        <v>45205.0</v>
      </c>
      <c r="D199" s="3">
        <v>45217.0</v>
      </c>
      <c r="E199" s="2" t="s">
        <v>29</v>
      </c>
      <c r="F199" s="2">
        <v>3.2</v>
      </c>
      <c r="G199" s="2">
        <v>90.0</v>
      </c>
      <c r="H199" s="2">
        <v>1.0</v>
      </c>
      <c r="I199" s="2">
        <v>12.0</v>
      </c>
      <c r="J199" s="2" t="s">
        <v>35</v>
      </c>
      <c r="K199" s="2" t="s">
        <v>26</v>
      </c>
      <c r="L199" s="2">
        <v>1.0</v>
      </c>
    </row>
    <row r="200">
      <c r="A200" s="2" t="s">
        <v>420</v>
      </c>
      <c r="B200" s="2" t="s">
        <v>421</v>
      </c>
      <c r="C200" s="3">
        <v>45178.0</v>
      </c>
      <c r="D200" s="3">
        <v>45190.0</v>
      </c>
      <c r="E200" s="2" t="s">
        <v>38</v>
      </c>
      <c r="F200" s="2">
        <v>0.4</v>
      </c>
      <c r="G200" s="2">
        <v>65.0</v>
      </c>
      <c r="H200" s="2">
        <v>0.0</v>
      </c>
      <c r="I200" s="2">
        <v>51.0</v>
      </c>
      <c r="J200" s="2" t="s">
        <v>23</v>
      </c>
      <c r="K200" s="2" t="s">
        <v>26</v>
      </c>
      <c r="L200" s="2">
        <v>0.0</v>
      </c>
    </row>
    <row r="201">
      <c r="A201" s="2" t="s">
        <v>422</v>
      </c>
      <c r="B201" s="2" t="s">
        <v>423</v>
      </c>
      <c r="C201" s="3">
        <v>45178.0</v>
      </c>
      <c r="D201" s="3">
        <v>45190.0</v>
      </c>
      <c r="E201" s="2" t="s">
        <v>29</v>
      </c>
      <c r="F201" s="2">
        <v>0.6</v>
      </c>
      <c r="G201" s="2">
        <v>79.0</v>
      </c>
      <c r="H201" s="2">
        <v>0.0</v>
      </c>
      <c r="I201" s="2">
        <v>41.0</v>
      </c>
      <c r="J201" s="2" t="s">
        <v>35</v>
      </c>
      <c r="K201" s="2" t="s">
        <v>16</v>
      </c>
      <c r="L201" s="2">
        <v>1.0</v>
      </c>
    </row>
    <row r="202">
      <c r="A202" s="2" t="s">
        <v>424</v>
      </c>
      <c r="B202" s="2" t="s">
        <v>425</v>
      </c>
      <c r="C202" s="3">
        <v>45244.0</v>
      </c>
      <c r="D202" s="3">
        <v>45256.0</v>
      </c>
      <c r="E202" s="2" t="s">
        <v>22</v>
      </c>
      <c r="F202" s="2">
        <v>2.5</v>
      </c>
      <c r="G202" s="2">
        <v>0.0</v>
      </c>
      <c r="H202" s="2">
        <v>0.0</v>
      </c>
      <c r="I202" s="2">
        <v>44.0</v>
      </c>
      <c r="J202" s="2" t="s">
        <v>32</v>
      </c>
      <c r="K202" s="2" t="s">
        <v>47</v>
      </c>
      <c r="L202" s="2">
        <v>1.0</v>
      </c>
    </row>
    <row r="203">
      <c r="A203" s="2" t="s">
        <v>426</v>
      </c>
      <c r="B203" s="2" t="s">
        <v>427</v>
      </c>
      <c r="C203" s="3">
        <v>45017.0</v>
      </c>
      <c r="D203" s="3">
        <v>45029.0</v>
      </c>
      <c r="E203" s="2" t="s">
        <v>14</v>
      </c>
      <c r="F203" s="2">
        <v>3.1</v>
      </c>
      <c r="G203" s="2">
        <v>52.0</v>
      </c>
      <c r="H203" s="2">
        <v>0.0</v>
      </c>
      <c r="I203" s="2">
        <v>46.0</v>
      </c>
      <c r="J203" s="2" t="s">
        <v>32</v>
      </c>
      <c r="K203" s="2" t="s">
        <v>16</v>
      </c>
      <c r="L203" s="2">
        <v>0.0</v>
      </c>
    </row>
    <row r="204">
      <c r="A204" s="2" t="s">
        <v>428</v>
      </c>
      <c r="B204" s="2" t="s">
        <v>429</v>
      </c>
      <c r="C204" s="3">
        <v>44989.0</v>
      </c>
      <c r="D204" s="3">
        <v>45001.0</v>
      </c>
      <c r="E204" s="2" t="s">
        <v>22</v>
      </c>
      <c r="F204" s="2">
        <v>3.3</v>
      </c>
      <c r="G204" s="2">
        <v>49.0</v>
      </c>
      <c r="H204" s="2">
        <v>1.0</v>
      </c>
      <c r="I204" s="2">
        <v>38.0</v>
      </c>
      <c r="J204" s="2" t="s">
        <v>32</v>
      </c>
      <c r="K204" s="2" t="s">
        <v>47</v>
      </c>
      <c r="L204" s="2">
        <v>1.0</v>
      </c>
    </row>
    <row r="205">
      <c r="A205" s="2" t="s">
        <v>430</v>
      </c>
      <c r="B205" s="2" t="s">
        <v>431</v>
      </c>
      <c r="C205" s="3">
        <v>45060.0</v>
      </c>
      <c r="D205" s="3">
        <v>45072.0</v>
      </c>
      <c r="E205" s="2" t="s">
        <v>38</v>
      </c>
      <c r="F205" s="2">
        <v>3.0</v>
      </c>
      <c r="G205" s="2">
        <v>55.0</v>
      </c>
      <c r="H205" s="2">
        <v>0.0</v>
      </c>
      <c r="I205" s="2">
        <v>18.0</v>
      </c>
      <c r="J205" s="2" t="s">
        <v>35</v>
      </c>
      <c r="K205" s="2" t="s">
        <v>16</v>
      </c>
      <c r="L205" s="2">
        <v>0.0</v>
      </c>
    </row>
    <row r="206">
      <c r="A206" s="2" t="s">
        <v>432</v>
      </c>
      <c r="B206" s="2" t="s">
        <v>433</v>
      </c>
      <c r="C206" s="3">
        <v>45265.0</v>
      </c>
      <c r="D206" s="3">
        <v>45277.0</v>
      </c>
      <c r="E206" s="2" t="s">
        <v>14</v>
      </c>
      <c r="F206" s="2">
        <v>3.6</v>
      </c>
      <c r="G206" s="2">
        <v>66.0</v>
      </c>
      <c r="H206" s="2">
        <v>1.0</v>
      </c>
      <c r="I206" s="2">
        <v>43.0</v>
      </c>
      <c r="J206" s="2" t="s">
        <v>15</v>
      </c>
      <c r="K206" s="2" t="s">
        <v>16</v>
      </c>
      <c r="L206" s="2">
        <v>1.0</v>
      </c>
    </row>
    <row r="207">
      <c r="A207" s="2" t="s">
        <v>434</v>
      </c>
      <c r="B207" s="2" t="s">
        <v>435</v>
      </c>
      <c r="C207" s="3">
        <v>45227.0</v>
      </c>
      <c r="D207" s="3">
        <v>45239.0</v>
      </c>
      <c r="E207" s="2" t="s">
        <v>22</v>
      </c>
      <c r="F207" s="2">
        <v>4.9</v>
      </c>
      <c r="G207" s="2">
        <v>21.0</v>
      </c>
      <c r="H207" s="2">
        <v>1.0</v>
      </c>
      <c r="I207" s="2">
        <v>19.0</v>
      </c>
      <c r="J207" s="2" t="s">
        <v>32</v>
      </c>
      <c r="K207" s="2" t="s">
        <v>47</v>
      </c>
      <c r="L207" s="2">
        <v>0.0</v>
      </c>
    </row>
    <row r="208">
      <c r="A208" s="2" t="s">
        <v>436</v>
      </c>
      <c r="B208" s="2" t="s">
        <v>437</v>
      </c>
      <c r="C208" s="3">
        <v>45147.0</v>
      </c>
      <c r="D208" s="3">
        <v>45159.0</v>
      </c>
      <c r="E208" s="2" t="s">
        <v>29</v>
      </c>
      <c r="F208" s="2">
        <v>4.0</v>
      </c>
      <c r="G208" s="2">
        <v>62.0</v>
      </c>
      <c r="H208" s="2">
        <v>1.0</v>
      </c>
      <c r="I208" s="2">
        <v>16.0</v>
      </c>
      <c r="J208" s="2" t="s">
        <v>19</v>
      </c>
      <c r="K208" s="2" t="s">
        <v>26</v>
      </c>
      <c r="L208" s="2">
        <v>0.0</v>
      </c>
    </row>
    <row r="209">
      <c r="A209" s="2" t="s">
        <v>438</v>
      </c>
      <c r="B209" s="2" t="s">
        <v>439</v>
      </c>
      <c r="C209" s="3">
        <v>44994.0</v>
      </c>
      <c r="D209" s="3">
        <v>45006.0</v>
      </c>
      <c r="E209" s="2" t="s">
        <v>14</v>
      </c>
      <c r="F209" s="2">
        <v>1.1</v>
      </c>
      <c r="G209" s="2">
        <v>24.0</v>
      </c>
      <c r="H209" s="2">
        <v>1.0</v>
      </c>
      <c r="I209" s="2">
        <v>13.0</v>
      </c>
      <c r="J209" s="2" t="s">
        <v>32</v>
      </c>
      <c r="K209" s="2" t="s">
        <v>26</v>
      </c>
      <c r="L209" s="2">
        <v>0.0</v>
      </c>
    </row>
    <row r="210">
      <c r="A210" s="2" t="s">
        <v>440</v>
      </c>
      <c r="B210" s="2" t="s">
        <v>441</v>
      </c>
      <c r="C210" s="3">
        <v>44950.0</v>
      </c>
      <c r="D210" s="3">
        <v>44962.0</v>
      </c>
      <c r="E210" s="2" t="s">
        <v>22</v>
      </c>
      <c r="F210" s="2">
        <v>0.3</v>
      </c>
      <c r="G210" s="2">
        <v>54.0</v>
      </c>
      <c r="H210" s="2">
        <v>0.0</v>
      </c>
      <c r="I210" s="2">
        <v>47.0</v>
      </c>
      <c r="J210" s="2" t="s">
        <v>15</v>
      </c>
      <c r="K210" s="2" t="s">
        <v>47</v>
      </c>
      <c r="L210" s="2">
        <v>0.0</v>
      </c>
    </row>
    <row r="211">
      <c r="A211" s="2" t="s">
        <v>442</v>
      </c>
      <c r="B211" s="2" t="s">
        <v>443</v>
      </c>
      <c r="C211" s="3">
        <v>44932.0</v>
      </c>
      <c r="D211" s="3">
        <v>44944.0</v>
      </c>
      <c r="E211" s="2" t="s">
        <v>14</v>
      </c>
      <c r="F211" s="2">
        <v>1.0</v>
      </c>
      <c r="G211" s="2">
        <v>1.0</v>
      </c>
      <c r="H211" s="2">
        <v>0.0</v>
      </c>
      <c r="I211" s="2">
        <v>55.0</v>
      </c>
      <c r="J211" s="2" t="s">
        <v>19</v>
      </c>
      <c r="K211" s="2" t="s">
        <v>26</v>
      </c>
      <c r="L211" s="2">
        <v>1.0</v>
      </c>
    </row>
    <row r="212">
      <c r="A212" s="2" t="s">
        <v>444</v>
      </c>
      <c r="B212" s="2" t="s">
        <v>445</v>
      </c>
      <c r="C212" s="3">
        <v>45145.0</v>
      </c>
      <c r="D212" s="3">
        <v>45157.0</v>
      </c>
      <c r="E212" s="2" t="s">
        <v>14</v>
      </c>
      <c r="F212" s="2">
        <v>2.3</v>
      </c>
      <c r="G212" s="2">
        <v>26.0</v>
      </c>
      <c r="H212" s="2">
        <v>1.0</v>
      </c>
      <c r="I212" s="2">
        <v>34.0</v>
      </c>
      <c r="J212" s="2" t="s">
        <v>15</v>
      </c>
      <c r="K212" s="2" t="s">
        <v>16</v>
      </c>
      <c r="L212" s="2">
        <v>1.0</v>
      </c>
    </row>
    <row r="213">
      <c r="A213" s="2" t="s">
        <v>446</v>
      </c>
      <c r="B213" s="2" t="s">
        <v>447</v>
      </c>
      <c r="C213" s="3">
        <v>44960.0</v>
      </c>
      <c r="D213" s="3">
        <v>44972.0</v>
      </c>
      <c r="E213" s="2" t="s">
        <v>22</v>
      </c>
      <c r="F213" s="2">
        <v>4.4</v>
      </c>
      <c r="G213" s="2">
        <v>53.0</v>
      </c>
      <c r="H213" s="2">
        <v>1.0</v>
      </c>
      <c r="I213" s="2">
        <v>30.0</v>
      </c>
      <c r="J213" s="2" t="s">
        <v>19</v>
      </c>
      <c r="K213" s="2" t="s">
        <v>16</v>
      </c>
      <c r="L213" s="2">
        <v>0.0</v>
      </c>
    </row>
    <row r="214">
      <c r="A214" s="2" t="s">
        <v>448</v>
      </c>
      <c r="B214" s="2" t="s">
        <v>449</v>
      </c>
      <c r="C214" s="3">
        <v>45056.0</v>
      </c>
      <c r="D214" s="3">
        <v>45068.0</v>
      </c>
      <c r="E214" s="2" t="s">
        <v>22</v>
      </c>
      <c r="F214" s="2">
        <v>0.6</v>
      </c>
      <c r="G214" s="2">
        <v>86.0</v>
      </c>
      <c r="H214" s="2">
        <v>1.0</v>
      </c>
      <c r="I214" s="2">
        <v>35.0</v>
      </c>
      <c r="J214" s="2" t="s">
        <v>23</v>
      </c>
      <c r="K214" s="2" t="s">
        <v>16</v>
      </c>
      <c r="L214" s="2">
        <v>1.0</v>
      </c>
    </row>
    <row r="215">
      <c r="A215" s="2" t="s">
        <v>450</v>
      </c>
      <c r="B215" s="2" t="s">
        <v>451</v>
      </c>
      <c r="C215" s="3">
        <v>44990.0</v>
      </c>
      <c r="D215" s="3">
        <v>45002.0</v>
      </c>
      <c r="E215" s="2" t="s">
        <v>29</v>
      </c>
      <c r="F215" s="2">
        <v>4.7</v>
      </c>
      <c r="G215" s="2">
        <v>91.0</v>
      </c>
      <c r="H215" s="2">
        <v>0.0</v>
      </c>
      <c r="I215" s="2">
        <v>48.0</v>
      </c>
      <c r="J215" s="2" t="s">
        <v>15</v>
      </c>
      <c r="K215" s="2" t="s">
        <v>16</v>
      </c>
      <c r="L215" s="2">
        <v>1.0</v>
      </c>
    </row>
    <row r="216">
      <c r="A216" s="2" t="s">
        <v>452</v>
      </c>
      <c r="B216" s="2" t="s">
        <v>453</v>
      </c>
      <c r="C216" s="3">
        <v>45011.0</v>
      </c>
      <c r="D216" s="3">
        <v>45023.0</v>
      </c>
      <c r="E216" s="2" t="s">
        <v>38</v>
      </c>
      <c r="F216" s="2">
        <v>0.2</v>
      </c>
      <c r="G216" s="2">
        <v>36.0</v>
      </c>
      <c r="H216" s="2">
        <v>1.0</v>
      </c>
      <c r="I216" s="2">
        <v>42.0</v>
      </c>
      <c r="J216" s="2" t="s">
        <v>15</v>
      </c>
      <c r="K216" s="2" t="s">
        <v>16</v>
      </c>
      <c r="L216" s="2">
        <v>1.0</v>
      </c>
    </row>
    <row r="217">
      <c r="A217" s="2" t="s">
        <v>454</v>
      </c>
      <c r="B217" s="2" t="s">
        <v>455</v>
      </c>
      <c r="C217" s="3">
        <v>45116.0</v>
      </c>
      <c r="D217" s="3">
        <v>45128.0</v>
      </c>
      <c r="E217" s="2" t="s">
        <v>22</v>
      </c>
      <c r="F217" s="2">
        <v>2.8</v>
      </c>
      <c r="G217" s="2">
        <v>30.0</v>
      </c>
      <c r="H217" s="2">
        <v>0.0</v>
      </c>
      <c r="I217" s="2">
        <v>15.0</v>
      </c>
      <c r="J217" s="2" t="s">
        <v>15</v>
      </c>
      <c r="K217" s="2" t="s">
        <v>47</v>
      </c>
      <c r="L217" s="2">
        <v>0.0</v>
      </c>
    </row>
    <row r="218">
      <c r="A218" s="2" t="s">
        <v>456</v>
      </c>
      <c r="B218" s="2" t="s">
        <v>457</v>
      </c>
      <c r="C218" s="3">
        <v>45274.0</v>
      </c>
      <c r="D218" s="3">
        <v>45286.0</v>
      </c>
      <c r="E218" s="2" t="s">
        <v>38</v>
      </c>
      <c r="F218" s="2">
        <v>3.9</v>
      </c>
      <c r="G218" s="2">
        <v>63.0</v>
      </c>
      <c r="H218" s="2">
        <v>0.0</v>
      </c>
      <c r="I218" s="2">
        <v>40.0</v>
      </c>
      <c r="J218" s="2" t="s">
        <v>15</v>
      </c>
      <c r="K218" s="2" t="s">
        <v>47</v>
      </c>
      <c r="L218" s="2">
        <v>0.0</v>
      </c>
    </row>
    <row r="219">
      <c r="A219" s="2" t="s">
        <v>458</v>
      </c>
      <c r="B219" s="2" t="s">
        <v>459</v>
      </c>
      <c r="C219" s="3">
        <v>45161.0</v>
      </c>
      <c r="D219" s="3">
        <v>45173.0</v>
      </c>
      <c r="E219" s="2" t="s">
        <v>38</v>
      </c>
      <c r="F219" s="2">
        <v>5.0</v>
      </c>
      <c r="G219" s="2">
        <v>89.0</v>
      </c>
      <c r="H219" s="2">
        <v>1.0</v>
      </c>
      <c r="I219" s="2">
        <v>37.0</v>
      </c>
      <c r="J219" s="2" t="s">
        <v>19</v>
      </c>
      <c r="K219" s="2" t="s">
        <v>16</v>
      </c>
      <c r="L219" s="2">
        <v>1.0</v>
      </c>
    </row>
    <row r="220">
      <c r="A220" s="2" t="s">
        <v>460</v>
      </c>
      <c r="B220" s="2" t="s">
        <v>461</v>
      </c>
      <c r="C220" s="3">
        <v>45131.0</v>
      </c>
      <c r="D220" s="3">
        <v>45143.0</v>
      </c>
      <c r="E220" s="2" t="s">
        <v>29</v>
      </c>
      <c r="F220" s="2">
        <v>1.7</v>
      </c>
      <c r="G220" s="2">
        <v>14.0</v>
      </c>
      <c r="H220" s="2">
        <v>0.0</v>
      </c>
      <c r="I220" s="2">
        <v>29.0</v>
      </c>
      <c r="J220" s="2" t="s">
        <v>32</v>
      </c>
      <c r="K220" s="2" t="s">
        <v>47</v>
      </c>
      <c r="L220" s="2">
        <v>1.0</v>
      </c>
    </row>
    <row r="221">
      <c r="A221" s="2" t="s">
        <v>462</v>
      </c>
      <c r="B221" s="2" t="s">
        <v>463</v>
      </c>
      <c r="C221" s="3">
        <v>45214.0</v>
      </c>
      <c r="D221" s="3">
        <v>45226.0</v>
      </c>
      <c r="E221" s="2" t="s">
        <v>29</v>
      </c>
      <c r="F221" s="2">
        <v>4.1</v>
      </c>
      <c r="G221" s="2">
        <v>29.0</v>
      </c>
      <c r="H221" s="2">
        <v>1.0</v>
      </c>
      <c r="I221" s="2">
        <v>14.0</v>
      </c>
      <c r="J221" s="2" t="s">
        <v>15</v>
      </c>
      <c r="K221" s="2" t="s">
        <v>26</v>
      </c>
      <c r="L221" s="2">
        <v>1.0</v>
      </c>
    </row>
    <row r="222">
      <c r="A222" s="2" t="s">
        <v>464</v>
      </c>
      <c r="B222" s="2" t="s">
        <v>465</v>
      </c>
      <c r="C222" s="3">
        <v>45164.0</v>
      </c>
      <c r="D222" s="3">
        <v>45176.0</v>
      </c>
      <c r="E222" s="2" t="s">
        <v>14</v>
      </c>
      <c r="F222" s="2">
        <v>2.6</v>
      </c>
      <c r="G222" s="2">
        <v>34.0</v>
      </c>
      <c r="H222" s="2">
        <v>0.0</v>
      </c>
      <c r="I222" s="2">
        <v>39.0</v>
      </c>
      <c r="J222" s="2" t="s">
        <v>32</v>
      </c>
      <c r="K222" s="2" t="s">
        <v>26</v>
      </c>
      <c r="L222" s="2">
        <v>0.0</v>
      </c>
    </row>
    <row r="223">
      <c r="A223" s="2" t="s">
        <v>466</v>
      </c>
      <c r="B223" s="2" t="s">
        <v>467</v>
      </c>
      <c r="C223" s="3">
        <v>45170.0</v>
      </c>
      <c r="D223" s="3">
        <v>45182.0</v>
      </c>
      <c r="E223" s="2" t="s">
        <v>22</v>
      </c>
      <c r="F223" s="2">
        <v>4.8</v>
      </c>
      <c r="G223" s="2">
        <v>60.0</v>
      </c>
      <c r="H223" s="2">
        <v>1.0</v>
      </c>
      <c r="I223" s="2">
        <v>24.0</v>
      </c>
      <c r="J223" s="2" t="s">
        <v>32</v>
      </c>
      <c r="K223" s="2" t="s">
        <v>26</v>
      </c>
      <c r="L223" s="2">
        <v>1.0</v>
      </c>
    </row>
    <row r="224">
      <c r="A224" s="2" t="s">
        <v>468</v>
      </c>
      <c r="B224" s="2" t="s">
        <v>469</v>
      </c>
      <c r="C224" s="3">
        <v>45011.0</v>
      </c>
      <c r="D224" s="3">
        <v>45023.0</v>
      </c>
      <c r="E224" s="2" t="s">
        <v>38</v>
      </c>
      <c r="F224" s="2">
        <v>1.3</v>
      </c>
      <c r="G224" s="2">
        <v>100.0</v>
      </c>
      <c r="H224" s="2">
        <v>1.0</v>
      </c>
      <c r="I224" s="2">
        <v>17.0</v>
      </c>
      <c r="J224" s="2" t="s">
        <v>32</v>
      </c>
      <c r="K224" s="2" t="s">
        <v>26</v>
      </c>
      <c r="L224" s="2">
        <v>1.0</v>
      </c>
    </row>
    <row r="225">
      <c r="A225" s="2" t="s">
        <v>470</v>
      </c>
      <c r="B225" s="2" t="s">
        <v>471</v>
      </c>
      <c r="C225" s="3">
        <v>45106.0</v>
      </c>
      <c r="D225" s="3">
        <v>45118.0</v>
      </c>
      <c r="E225" s="2" t="s">
        <v>14</v>
      </c>
      <c r="F225" s="2">
        <v>1.9</v>
      </c>
      <c r="G225" s="2">
        <v>84.0</v>
      </c>
      <c r="H225" s="2">
        <v>0.0</v>
      </c>
      <c r="I225" s="2">
        <v>25.0</v>
      </c>
      <c r="J225" s="2" t="s">
        <v>35</v>
      </c>
      <c r="K225" s="2" t="s">
        <v>26</v>
      </c>
      <c r="L225" s="2">
        <v>1.0</v>
      </c>
    </row>
    <row r="226">
      <c r="A226" s="2" t="s">
        <v>472</v>
      </c>
      <c r="B226" s="2" t="s">
        <v>473</v>
      </c>
      <c r="C226" s="3">
        <v>45000.0</v>
      </c>
      <c r="D226" s="3">
        <v>45012.0</v>
      </c>
      <c r="E226" s="2" t="s">
        <v>38</v>
      </c>
      <c r="F226" s="2">
        <v>0.4</v>
      </c>
      <c r="G226" s="2">
        <v>3.0</v>
      </c>
      <c r="H226" s="2">
        <v>0.0</v>
      </c>
      <c r="I226" s="2">
        <v>27.0</v>
      </c>
      <c r="J226" s="2" t="s">
        <v>32</v>
      </c>
      <c r="K226" s="2" t="s">
        <v>26</v>
      </c>
      <c r="L226" s="2">
        <v>1.0</v>
      </c>
    </row>
    <row r="227">
      <c r="A227" s="2" t="s">
        <v>474</v>
      </c>
      <c r="B227" s="2" t="s">
        <v>475</v>
      </c>
      <c r="C227" s="3">
        <v>45068.0</v>
      </c>
      <c r="D227" s="3">
        <v>45080.0</v>
      </c>
      <c r="E227" s="2" t="s">
        <v>22</v>
      </c>
      <c r="F227" s="2">
        <v>3.3</v>
      </c>
      <c r="G227" s="2">
        <v>58.0</v>
      </c>
      <c r="H227" s="2">
        <v>1.0</v>
      </c>
      <c r="I227" s="2">
        <v>14.0</v>
      </c>
      <c r="J227" s="2" t="s">
        <v>15</v>
      </c>
      <c r="K227" s="2" t="s">
        <v>47</v>
      </c>
      <c r="L227" s="2">
        <v>0.0</v>
      </c>
    </row>
    <row r="228">
      <c r="A228" s="2" t="s">
        <v>476</v>
      </c>
      <c r="B228" s="2" t="s">
        <v>477</v>
      </c>
      <c r="C228" s="3">
        <v>45243.0</v>
      </c>
      <c r="D228" s="3">
        <v>45255.0</v>
      </c>
      <c r="E228" s="2" t="s">
        <v>14</v>
      </c>
      <c r="F228" s="2">
        <v>4.2</v>
      </c>
      <c r="G228" s="2">
        <v>41.0</v>
      </c>
      <c r="H228" s="2">
        <v>0.0</v>
      </c>
      <c r="I228" s="2">
        <v>17.0</v>
      </c>
      <c r="J228" s="2" t="s">
        <v>23</v>
      </c>
      <c r="K228" s="2" t="s">
        <v>26</v>
      </c>
      <c r="L228" s="2">
        <v>1.0</v>
      </c>
    </row>
    <row r="229">
      <c r="A229" s="2" t="s">
        <v>478</v>
      </c>
      <c r="B229" s="2" t="s">
        <v>479</v>
      </c>
      <c r="C229" s="3">
        <v>45031.0</v>
      </c>
      <c r="D229" s="3">
        <v>45043.0</v>
      </c>
      <c r="E229" s="2" t="s">
        <v>29</v>
      </c>
      <c r="F229" s="2">
        <v>2.7</v>
      </c>
      <c r="G229" s="2">
        <v>27.0</v>
      </c>
      <c r="H229" s="2">
        <v>0.0</v>
      </c>
      <c r="I229" s="2">
        <v>41.0</v>
      </c>
      <c r="J229" s="2" t="s">
        <v>19</v>
      </c>
      <c r="K229" s="2" t="s">
        <v>16</v>
      </c>
      <c r="L229" s="2">
        <v>1.0</v>
      </c>
    </row>
    <row r="230">
      <c r="A230" s="2" t="s">
        <v>480</v>
      </c>
      <c r="B230" s="2" t="s">
        <v>481</v>
      </c>
      <c r="C230" s="3">
        <v>45264.0</v>
      </c>
      <c r="D230" s="3">
        <v>45276.0</v>
      </c>
      <c r="E230" s="2" t="s">
        <v>29</v>
      </c>
      <c r="F230" s="2">
        <v>1.5</v>
      </c>
      <c r="G230" s="2">
        <v>28.0</v>
      </c>
      <c r="H230" s="2">
        <v>1.0</v>
      </c>
      <c r="I230" s="2">
        <v>28.0</v>
      </c>
      <c r="J230" s="2" t="s">
        <v>19</v>
      </c>
      <c r="K230" s="2" t="s">
        <v>26</v>
      </c>
      <c r="L230" s="2">
        <v>0.0</v>
      </c>
    </row>
    <row r="231">
      <c r="A231" s="2" t="s">
        <v>482</v>
      </c>
      <c r="B231" s="2" t="s">
        <v>483</v>
      </c>
      <c r="C231" s="3">
        <v>45228.0</v>
      </c>
      <c r="D231" s="3">
        <v>45240.0</v>
      </c>
      <c r="E231" s="2" t="s">
        <v>38</v>
      </c>
      <c r="F231" s="2">
        <v>3.2</v>
      </c>
      <c r="G231" s="2">
        <v>99.0</v>
      </c>
      <c r="H231" s="2">
        <v>0.0</v>
      </c>
      <c r="I231" s="2">
        <v>45.0</v>
      </c>
      <c r="J231" s="2" t="s">
        <v>23</v>
      </c>
      <c r="K231" s="2" t="s">
        <v>47</v>
      </c>
      <c r="L231" s="2">
        <v>1.0</v>
      </c>
    </row>
    <row r="232">
      <c r="A232" s="2" t="s">
        <v>484</v>
      </c>
      <c r="B232" s="2" t="s">
        <v>485</v>
      </c>
      <c r="C232" s="3">
        <v>45080.0</v>
      </c>
      <c r="D232" s="3">
        <v>45092.0</v>
      </c>
      <c r="E232" s="2" t="s">
        <v>29</v>
      </c>
      <c r="F232" s="2">
        <v>4.5</v>
      </c>
      <c r="G232" s="2">
        <v>57.0</v>
      </c>
      <c r="H232" s="2">
        <v>0.0</v>
      </c>
      <c r="I232" s="2">
        <v>19.0</v>
      </c>
      <c r="J232" s="2" t="s">
        <v>19</v>
      </c>
      <c r="K232" s="2" t="s">
        <v>16</v>
      </c>
      <c r="L232" s="2">
        <v>1.0</v>
      </c>
    </row>
    <row r="233">
      <c r="A233" s="2" t="s">
        <v>486</v>
      </c>
      <c r="B233" s="2" t="s">
        <v>487</v>
      </c>
      <c r="C233" s="3">
        <v>45173.0</v>
      </c>
      <c r="D233" s="3">
        <v>45185.0</v>
      </c>
      <c r="E233" s="2" t="s">
        <v>22</v>
      </c>
      <c r="F233" s="2">
        <v>0.8</v>
      </c>
      <c r="G233" s="2">
        <v>38.0</v>
      </c>
      <c r="H233" s="2">
        <v>0.0</v>
      </c>
      <c r="I233" s="2">
        <v>37.0</v>
      </c>
      <c r="J233" s="2" t="s">
        <v>35</v>
      </c>
      <c r="K233" s="2" t="s">
        <v>47</v>
      </c>
      <c r="L233" s="2">
        <v>1.0</v>
      </c>
    </row>
    <row r="234">
      <c r="A234" s="2" t="s">
        <v>488</v>
      </c>
      <c r="B234" s="2" t="s">
        <v>489</v>
      </c>
      <c r="C234" s="3">
        <v>45133.0</v>
      </c>
      <c r="D234" s="3">
        <v>45145.0</v>
      </c>
      <c r="E234" s="2" t="s">
        <v>38</v>
      </c>
      <c r="F234" s="2">
        <v>2.4</v>
      </c>
      <c r="G234" s="2">
        <v>4.0</v>
      </c>
      <c r="H234" s="2">
        <v>1.0</v>
      </c>
      <c r="I234" s="2">
        <v>50.0</v>
      </c>
      <c r="J234" s="2" t="s">
        <v>23</v>
      </c>
      <c r="K234" s="2" t="s">
        <v>16</v>
      </c>
      <c r="L234" s="2">
        <v>1.0</v>
      </c>
    </row>
    <row r="235">
      <c r="A235" s="2" t="s">
        <v>490</v>
      </c>
      <c r="B235" s="2" t="s">
        <v>491</v>
      </c>
      <c r="C235" s="3">
        <v>45171.0</v>
      </c>
      <c r="D235" s="3">
        <v>45183.0</v>
      </c>
      <c r="E235" s="2" t="s">
        <v>29</v>
      </c>
      <c r="F235" s="2">
        <v>2.0</v>
      </c>
      <c r="G235" s="2">
        <v>48.0</v>
      </c>
      <c r="H235" s="2">
        <v>0.0</v>
      </c>
      <c r="I235" s="2">
        <v>55.0</v>
      </c>
      <c r="J235" s="2" t="s">
        <v>32</v>
      </c>
      <c r="K235" s="2" t="s">
        <v>47</v>
      </c>
      <c r="L235" s="2">
        <v>0.0</v>
      </c>
    </row>
    <row r="236">
      <c r="A236" s="2" t="s">
        <v>492</v>
      </c>
      <c r="B236" s="2" t="s">
        <v>493</v>
      </c>
      <c r="C236" s="3">
        <v>45197.0</v>
      </c>
      <c r="D236" s="3">
        <v>45209.0</v>
      </c>
      <c r="E236" s="2" t="s">
        <v>38</v>
      </c>
      <c r="F236" s="2">
        <v>0.7</v>
      </c>
      <c r="G236" s="2">
        <v>87.0</v>
      </c>
      <c r="H236" s="2">
        <v>1.0</v>
      </c>
      <c r="I236" s="2">
        <v>48.0</v>
      </c>
      <c r="J236" s="2" t="s">
        <v>32</v>
      </c>
      <c r="K236" s="2" t="s">
        <v>16</v>
      </c>
      <c r="L236" s="2">
        <v>0.0</v>
      </c>
    </row>
    <row r="237">
      <c r="A237" s="2" t="s">
        <v>494</v>
      </c>
      <c r="B237" s="2" t="s">
        <v>495</v>
      </c>
      <c r="C237" s="3">
        <v>45142.0</v>
      </c>
      <c r="D237" s="3">
        <v>45154.0</v>
      </c>
      <c r="E237" s="2" t="s">
        <v>22</v>
      </c>
      <c r="F237" s="2">
        <v>2.5</v>
      </c>
      <c r="G237" s="2">
        <v>67.0</v>
      </c>
      <c r="H237" s="2">
        <v>0.0</v>
      </c>
      <c r="I237" s="2">
        <v>31.0</v>
      </c>
      <c r="J237" s="2" t="s">
        <v>23</v>
      </c>
      <c r="K237" s="2" t="s">
        <v>16</v>
      </c>
      <c r="L237" s="2">
        <v>0.0</v>
      </c>
    </row>
    <row r="238">
      <c r="A238" s="2" t="s">
        <v>496</v>
      </c>
      <c r="B238" s="2" t="s">
        <v>497</v>
      </c>
      <c r="C238" s="3">
        <v>45198.0</v>
      </c>
      <c r="D238" s="3">
        <v>45210.0</v>
      </c>
      <c r="E238" s="2" t="s">
        <v>38</v>
      </c>
      <c r="F238" s="2">
        <v>2.1</v>
      </c>
      <c r="G238" s="2">
        <v>11.0</v>
      </c>
      <c r="H238" s="2">
        <v>1.0</v>
      </c>
      <c r="I238" s="2">
        <v>36.0</v>
      </c>
      <c r="J238" s="2" t="s">
        <v>15</v>
      </c>
      <c r="K238" s="2" t="s">
        <v>26</v>
      </c>
      <c r="L238" s="2">
        <v>1.0</v>
      </c>
    </row>
    <row r="239">
      <c r="A239" s="2" t="s">
        <v>498</v>
      </c>
      <c r="B239" s="2" t="s">
        <v>499</v>
      </c>
      <c r="C239" s="3">
        <v>44932.0</v>
      </c>
      <c r="D239" s="3">
        <v>44944.0</v>
      </c>
      <c r="E239" s="2" t="s">
        <v>38</v>
      </c>
      <c r="F239" s="2">
        <v>0.5</v>
      </c>
      <c r="G239" s="2">
        <v>77.0</v>
      </c>
      <c r="H239" s="2">
        <v>0.0</v>
      </c>
      <c r="I239" s="2">
        <v>35.0</v>
      </c>
      <c r="J239" s="2" t="s">
        <v>32</v>
      </c>
      <c r="K239" s="2" t="s">
        <v>26</v>
      </c>
      <c r="L239" s="2">
        <v>0.0</v>
      </c>
    </row>
    <row r="240">
      <c r="A240" s="2" t="s">
        <v>500</v>
      </c>
      <c r="B240" s="2" t="s">
        <v>501</v>
      </c>
      <c r="C240" s="3">
        <v>45237.0</v>
      </c>
      <c r="D240" s="3">
        <v>45249.0</v>
      </c>
      <c r="E240" s="2" t="s">
        <v>14</v>
      </c>
      <c r="F240" s="2">
        <v>2.9</v>
      </c>
      <c r="G240" s="2">
        <v>64.0</v>
      </c>
      <c r="H240" s="2">
        <v>1.0</v>
      </c>
      <c r="I240" s="2">
        <v>20.0</v>
      </c>
      <c r="J240" s="2" t="s">
        <v>35</v>
      </c>
      <c r="K240" s="2" t="s">
        <v>47</v>
      </c>
      <c r="L240" s="2">
        <v>1.0</v>
      </c>
    </row>
    <row r="241">
      <c r="A241" s="2" t="s">
        <v>502</v>
      </c>
      <c r="B241" s="2" t="s">
        <v>503</v>
      </c>
      <c r="C241" s="3">
        <v>44927.0</v>
      </c>
      <c r="D241" s="3">
        <v>44939.0</v>
      </c>
      <c r="E241" s="2" t="s">
        <v>22</v>
      </c>
      <c r="F241" s="2">
        <v>1.2</v>
      </c>
      <c r="G241" s="2">
        <v>33.0</v>
      </c>
      <c r="H241" s="2">
        <v>1.0</v>
      </c>
      <c r="I241" s="2">
        <v>27.0</v>
      </c>
      <c r="J241" s="2" t="s">
        <v>35</v>
      </c>
      <c r="K241" s="2" t="s">
        <v>47</v>
      </c>
      <c r="L241" s="2">
        <v>0.0</v>
      </c>
    </row>
    <row r="242">
      <c r="A242" s="2" t="s">
        <v>504</v>
      </c>
      <c r="B242" s="2" t="s">
        <v>505</v>
      </c>
      <c r="C242" s="3">
        <v>45158.0</v>
      </c>
      <c r="D242" s="3">
        <v>45170.0</v>
      </c>
      <c r="E242" s="2" t="s">
        <v>38</v>
      </c>
      <c r="F242" s="2">
        <v>0.1</v>
      </c>
      <c r="G242" s="2">
        <v>61.0</v>
      </c>
      <c r="H242" s="2">
        <v>1.0</v>
      </c>
      <c r="I242" s="2">
        <v>16.0</v>
      </c>
      <c r="J242" s="2" t="s">
        <v>35</v>
      </c>
      <c r="K242" s="2" t="s">
        <v>26</v>
      </c>
      <c r="L242" s="2">
        <v>1.0</v>
      </c>
    </row>
    <row r="243">
      <c r="A243" s="2" t="s">
        <v>506</v>
      </c>
      <c r="B243" s="2" t="s">
        <v>507</v>
      </c>
      <c r="C243" s="3">
        <v>45126.0</v>
      </c>
      <c r="D243" s="3">
        <v>45138.0</v>
      </c>
      <c r="E243" s="2" t="s">
        <v>22</v>
      </c>
      <c r="F243" s="2">
        <v>1.4</v>
      </c>
      <c r="G243" s="2">
        <v>97.0</v>
      </c>
      <c r="H243" s="2">
        <v>0.0</v>
      </c>
      <c r="I243" s="2">
        <v>32.0</v>
      </c>
      <c r="J243" s="2" t="s">
        <v>23</v>
      </c>
      <c r="K243" s="2" t="s">
        <v>26</v>
      </c>
      <c r="L243" s="2">
        <v>1.0</v>
      </c>
    </row>
    <row r="244">
      <c r="A244" s="2" t="s">
        <v>508</v>
      </c>
      <c r="B244" s="2" t="s">
        <v>509</v>
      </c>
      <c r="C244" s="3">
        <v>45264.0</v>
      </c>
      <c r="D244" s="3">
        <v>45276.0</v>
      </c>
      <c r="E244" s="2" t="s">
        <v>29</v>
      </c>
      <c r="F244" s="2">
        <v>3.5</v>
      </c>
      <c r="G244" s="2">
        <v>18.0</v>
      </c>
      <c r="H244" s="2">
        <v>0.0</v>
      </c>
      <c r="I244" s="2">
        <v>54.0</v>
      </c>
      <c r="J244" s="2" t="s">
        <v>19</v>
      </c>
      <c r="K244" s="2" t="s">
        <v>47</v>
      </c>
      <c r="L244" s="2">
        <v>1.0</v>
      </c>
    </row>
    <row r="245">
      <c r="A245" s="2" t="s">
        <v>510</v>
      </c>
      <c r="B245" s="2" t="s">
        <v>511</v>
      </c>
      <c r="C245" s="3">
        <v>45215.0</v>
      </c>
      <c r="D245" s="3">
        <v>45227.0</v>
      </c>
      <c r="E245" s="2" t="s">
        <v>22</v>
      </c>
      <c r="F245" s="2">
        <v>3.4</v>
      </c>
      <c r="G245" s="2">
        <v>79.0</v>
      </c>
      <c r="H245" s="2">
        <v>0.0</v>
      </c>
      <c r="I245" s="2">
        <v>29.0</v>
      </c>
      <c r="J245" s="2" t="s">
        <v>32</v>
      </c>
      <c r="K245" s="2" t="s">
        <v>47</v>
      </c>
      <c r="L245" s="2">
        <v>1.0</v>
      </c>
    </row>
    <row r="246">
      <c r="A246" s="2" t="s">
        <v>512</v>
      </c>
      <c r="B246" s="2" t="s">
        <v>513</v>
      </c>
      <c r="C246" s="3">
        <v>44985.0</v>
      </c>
      <c r="D246" s="3">
        <v>44997.0</v>
      </c>
      <c r="E246" s="2" t="s">
        <v>22</v>
      </c>
      <c r="F246" s="2">
        <v>3.0</v>
      </c>
      <c r="G246" s="2">
        <v>2.0</v>
      </c>
      <c r="H246" s="2">
        <v>1.0</v>
      </c>
      <c r="I246" s="2">
        <v>23.0</v>
      </c>
      <c r="J246" s="2" t="s">
        <v>15</v>
      </c>
      <c r="K246" s="2" t="s">
        <v>26</v>
      </c>
      <c r="L246" s="2">
        <v>1.0</v>
      </c>
    </row>
    <row r="247">
      <c r="A247" s="2" t="s">
        <v>514</v>
      </c>
      <c r="B247" s="2" t="s">
        <v>515</v>
      </c>
      <c r="C247" s="3">
        <v>44956.0</v>
      </c>
      <c r="D247" s="3">
        <v>44968.0</v>
      </c>
      <c r="E247" s="2" t="s">
        <v>38</v>
      </c>
      <c r="F247" s="2">
        <v>3.1</v>
      </c>
      <c r="G247" s="2">
        <v>90.0</v>
      </c>
      <c r="H247" s="2">
        <v>1.0</v>
      </c>
      <c r="I247" s="2">
        <v>38.0</v>
      </c>
      <c r="J247" s="2" t="s">
        <v>32</v>
      </c>
      <c r="K247" s="2" t="s">
        <v>16</v>
      </c>
      <c r="L247" s="2">
        <v>0.0</v>
      </c>
    </row>
    <row r="248">
      <c r="A248" s="2" t="s">
        <v>516</v>
      </c>
      <c r="B248" s="2" t="s">
        <v>517</v>
      </c>
      <c r="C248" s="3">
        <v>45130.0</v>
      </c>
      <c r="D248" s="3">
        <v>45142.0</v>
      </c>
      <c r="E248" s="2" t="s">
        <v>22</v>
      </c>
      <c r="F248" s="2">
        <v>0.9</v>
      </c>
      <c r="G248" s="2">
        <v>5.0</v>
      </c>
      <c r="H248" s="2">
        <v>1.0</v>
      </c>
      <c r="I248" s="2">
        <v>49.0</v>
      </c>
      <c r="J248" s="2" t="s">
        <v>23</v>
      </c>
      <c r="K248" s="2" t="s">
        <v>16</v>
      </c>
      <c r="L248" s="2">
        <v>1.0</v>
      </c>
    </row>
    <row r="249">
      <c r="A249" s="2" t="s">
        <v>518</v>
      </c>
      <c r="B249" s="2" t="s">
        <v>519</v>
      </c>
      <c r="C249" s="3">
        <v>45201.0</v>
      </c>
      <c r="D249" s="3">
        <v>45213.0</v>
      </c>
      <c r="E249" s="2" t="s">
        <v>38</v>
      </c>
      <c r="F249" s="2">
        <v>1.6</v>
      </c>
      <c r="G249" s="2">
        <v>88.0</v>
      </c>
      <c r="H249" s="2">
        <v>0.0</v>
      </c>
      <c r="I249" s="2">
        <v>15.0</v>
      </c>
      <c r="J249" s="2" t="s">
        <v>15</v>
      </c>
      <c r="K249" s="2" t="s">
        <v>16</v>
      </c>
      <c r="L249" s="2">
        <v>1.0</v>
      </c>
    </row>
    <row r="250">
      <c r="A250" s="2" t="s">
        <v>520</v>
      </c>
      <c r="B250" s="2" t="s">
        <v>521</v>
      </c>
      <c r="C250" s="3">
        <v>45034.0</v>
      </c>
      <c r="D250" s="3">
        <v>45046.0</v>
      </c>
      <c r="E250" s="2" t="s">
        <v>14</v>
      </c>
      <c r="F250" s="2">
        <v>3.8</v>
      </c>
      <c r="G250" s="2">
        <v>83.0</v>
      </c>
      <c r="H250" s="2">
        <v>1.0</v>
      </c>
      <c r="I250" s="2">
        <v>25.0</v>
      </c>
      <c r="J250" s="2" t="s">
        <v>35</v>
      </c>
      <c r="K250" s="2" t="s">
        <v>26</v>
      </c>
      <c r="L250" s="2">
        <v>1.0</v>
      </c>
    </row>
    <row r="251">
      <c r="A251" s="2" t="s">
        <v>522</v>
      </c>
      <c r="B251" s="2" t="s">
        <v>523</v>
      </c>
      <c r="C251" s="3">
        <v>45029.0</v>
      </c>
      <c r="D251" s="3">
        <v>45041.0</v>
      </c>
      <c r="E251" s="2" t="s">
        <v>29</v>
      </c>
      <c r="F251" s="2">
        <v>3.7</v>
      </c>
      <c r="G251" s="2">
        <v>71.0</v>
      </c>
      <c r="H251" s="2">
        <v>1.0</v>
      </c>
      <c r="I251" s="2">
        <v>34.0</v>
      </c>
      <c r="J251" s="2" t="s">
        <v>35</v>
      </c>
      <c r="K251" s="2" t="s">
        <v>16</v>
      </c>
      <c r="L251" s="2">
        <v>1.0</v>
      </c>
    </row>
    <row r="252">
      <c r="A252" s="2" t="s">
        <v>524</v>
      </c>
      <c r="B252" s="2" t="s">
        <v>525</v>
      </c>
      <c r="C252" s="3">
        <v>45254.0</v>
      </c>
      <c r="D252" s="3">
        <v>45266.0</v>
      </c>
      <c r="E252" s="2" t="s">
        <v>22</v>
      </c>
      <c r="F252" s="2">
        <v>2.2</v>
      </c>
      <c r="G252" s="2">
        <v>56.0</v>
      </c>
      <c r="H252" s="2">
        <v>0.0</v>
      </c>
      <c r="I252" s="2">
        <v>12.0</v>
      </c>
      <c r="J252" s="2" t="s">
        <v>32</v>
      </c>
      <c r="K252" s="2" t="s">
        <v>16</v>
      </c>
      <c r="L252" s="2">
        <v>0.0</v>
      </c>
    </row>
    <row r="253">
      <c r="A253" s="2" t="s">
        <v>526</v>
      </c>
      <c r="B253" s="2" t="s">
        <v>527</v>
      </c>
      <c r="C253" s="3">
        <v>45171.0</v>
      </c>
      <c r="D253" s="3">
        <v>45183.0</v>
      </c>
      <c r="E253" s="2" t="s">
        <v>29</v>
      </c>
      <c r="F253" s="2">
        <v>1.8</v>
      </c>
      <c r="G253" s="2">
        <v>25.0</v>
      </c>
      <c r="H253" s="2">
        <v>1.0</v>
      </c>
      <c r="I253" s="2">
        <v>24.0</v>
      </c>
      <c r="J253" s="2" t="s">
        <v>15</v>
      </c>
      <c r="K253" s="2" t="s">
        <v>16</v>
      </c>
      <c r="L253" s="2">
        <v>1.0</v>
      </c>
    </row>
    <row r="254">
      <c r="A254" s="2" t="s">
        <v>528</v>
      </c>
      <c r="B254" s="2" t="s">
        <v>529</v>
      </c>
      <c r="C254" s="3">
        <v>45117.0</v>
      </c>
      <c r="D254" s="3">
        <v>45129.0</v>
      </c>
      <c r="E254" s="2" t="s">
        <v>14</v>
      </c>
      <c r="F254" s="2">
        <v>0.0</v>
      </c>
      <c r="G254" s="2">
        <v>40.0</v>
      </c>
      <c r="H254" s="2">
        <v>1.0</v>
      </c>
      <c r="I254" s="2">
        <v>47.0</v>
      </c>
      <c r="J254" s="2" t="s">
        <v>32</v>
      </c>
      <c r="K254" s="2" t="s">
        <v>16</v>
      </c>
      <c r="L254" s="2">
        <v>1.0</v>
      </c>
    </row>
    <row r="255">
      <c r="A255" s="2" t="s">
        <v>530</v>
      </c>
      <c r="B255" s="2" t="s">
        <v>531</v>
      </c>
      <c r="C255" s="3">
        <v>44946.0</v>
      </c>
      <c r="D255" s="3">
        <v>44958.0</v>
      </c>
      <c r="E255" s="2" t="s">
        <v>14</v>
      </c>
      <c r="F255" s="2">
        <v>4.6</v>
      </c>
      <c r="G255" s="2">
        <v>39.0</v>
      </c>
      <c r="H255" s="2">
        <v>0.0</v>
      </c>
      <c r="I255" s="2">
        <v>21.0</v>
      </c>
      <c r="J255" s="2" t="s">
        <v>23</v>
      </c>
      <c r="K255" s="2" t="s">
        <v>26</v>
      </c>
      <c r="L255" s="2">
        <v>1.0</v>
      </c>
    </row>
    <row r="256">
      <c r="A256" s="2" t="s">
        <v>532</v>
      </c>
      <c r="B256" s="2" t="s">
        <v>533</v>
      </c>
      <c r="C256" s="3">
        <v>45252.0</v>
      </c>
      <c r="D256" s="3">
        <v>45264.0</v>
      </c>
      <c r="E256" s="2" t="s">
        <v>14</v>
      </c>
      <c r="F256" s="2">
        <v>4.3</v>
      </c>
      <c r="G256" s="2">
        <v>46.0</v>
      </c>
      <c r="H256" s="2">
        <v>1.0</v>
      </c>
      <c r="I256" s="2">
        <v>26.0</v>
      </c>
      <c r="J256" s="2" t="s">
        <v>15</v>
      </c>
      <c r="K256" s="2" t="s">
        <v>47</v>
      </c>
      <c r="L256" s="2">
        <v>1.0</v>
      </c>
    </row>
    <row r="257">
      <c r="A257" s="2" t="s">
        <v>534</v>
      </c>
      <c r="B257" s="2" t="s">
        <v>535</v>
      </c>
      <c r="C257" s="3">
        <v>45104.0</v>
      </c>
      <c r="D257" s="3">
        <v>45116.0</v>
      </c>
      <c r="E257" s="2" t="s">
        <v>14</v>
      </c>
      <c r="F257" s="2">
        <v>1.8</v>
      </c>
      <c r="G257" s="2">
        <v>51.0</v>
      </c>
      <c r="H257" s="2">
        <v>0.0</v>
      </c>
      <c r="I257" s="2">
        <v>13.0</v>
      </c>
      <c r="J257" s="2" t="s">
        <v>35</v>
      </c>
      <c r="K257" s="2" t="s">
        <v>16</v>
      </c>
      <c r="L257" s="2">
        <v>1.0</v>
      </c>
    </row>
    <row r="258">
      <c r="A258" s="2" t="s">
        <v>536</v>
      </c>
      <c r="B258" s="2" t="s">
        <v>537</v>
      </c>
      <c r="C258" s="3">
        <v>45119.0</v>
      </c>
      <c r="D258" s="3">
        <v>45131.0</v>
      </c>
      <c r="E258" s="2" t="s">
        <v>29</v>
      </c>
      <c r="F258" s="2">
        <v>0.9</v>
      </c>
      <c r="G258" s="2">
        <v>16.0</v>
      </c>
      <c r="H258" s="2">
        <v>0.0</v>
      </c>
      <c r="I258" s="2">
        <v>30.0</v>
      </c>
      <c r="J258" s="2" t="s">
        <v>32</v>
      </c>
      <c r="K258" s="2" t="s">
        <v>47</v>
      </c>
      <c r="L258" s="2">
        <v>1.0</v>
      </c>
    </row>
    <row r="259">
      <c r="A259" s="2" t="s">
        <v>538</v>
      </c>
      <c r="B259" s="2" t="s">
        <v>539</v>
      </c>
      <c r="C259" s="3">
        <v>45233.0</v>
      </c>
      <c r="D259" s="3">
        <v>45245.0</v>
      </c>
      <c r="E259" s="2" t="s">
        <v>22</v>
      </c>
      <c r="F259" s="2">
        <v>2.0</v>
      </c>
      <c r="G259" s="2">
        <v>98.0</v>
      </c>
      <c r="H259" s="2">
        <v>0.0</v>
      </c>
      <c r="I259" s="2">
        <v>33.0</v>
      </c>
      <c r="J259" s="2" t="s">
        <v>35</v>
      </c>
      <c r="K259" s="2" t="s">
        <v>47</v>
      </c>
      <c r="L259" s="2">
        <v>0.0</v>
      </c>
    </row>
    <row r="260">
      <c r="A260" s="2" t="s">
        <v>540</v>
      </c>
      <c r="B260" s="2" t="s">
        <v>541</v>
      </c>
      <c r="C260" s="3">
        <v>45108.0</v>
      </c>
      <c r="D260" s="3">
        <v>45120.0</v>
      </c>
      <c r="E260" s="2" t="s">
        <v>14</v>
      </c>
      <c r="F260" s="2">
        <v>3.1</v>
      </c>
      <c r="G260" s="2">
        <v>52.0</v>
      </c>
      <c r="H260" s="2">
        <v>0.0</v>
      </c>
      <c r="I260" s="2">
        <v>56.0</v>
      </c>
      <c r="J260" s="2" t="s">
        <v>15</v>
      </c>
      <c r="K260" s="2" t="s">
        <v>26</v>
      </c>
      <c r="L260" s="2">
        <v>1.0</v>
      </c>
    </row>
    <row r="261">
      <c r="A261" s="2" t="s">
        <v>542</v>
      </c>
      <c r="B261" s="2" t="s">
        <v>543</v>
      </c>
      <c r="C261" s="3">
        <v>44987.0</v>
      </c>
      <c r="D261" s="3">
        <v>44999.0</v>
      </c>
      <c r="E261" s="2" t="s">
        <v>29</v>
      </c>
      <c r="F261" s="2">
        <v>2.8</v>
      </c>
      <c r="G261" s="2">
        <v>74.0</v>
      </c>
      <c r="H261" s="2">
        <v>0.0</v>
      </c>
      <c r="I261" s="2">
        <v>22.0</v>
      </c>
      <c r="J261" s="2" t="s">
        <v>19</v>
      </c>
      <c r="K261" s="2" t="s">
        <v>16</v>
      </c>
      <c r="L261" s="2">
        <v>1.0</v>
      </c>
    </row>
    <row r="262">
      <c r="A262" s="2" t="s">
        <v>544</v>
      </c>
      <c r="B262" s="2" t="s">
        <v>545</v>
      </c>
      <c r="C262" s="3">
        <v>44985.0</v>
      </c>
      <c r="D262" s="3">
        <v>44997.0</v>
      </c>
      <c r="E262" s="2" t="s">
        <v>38</v>
      </c>
      <c r="F262" s="2">
        <v>3.8</v>
      </c>
      <c r="G262" s="2">
        <v>12.0</v>
      </c>
      <c r="H262" s="2">
        <v>0.0</v>
      </c>
      <c r="I262" s="2">
        <v>42.0</v>
      </c>
      <c r="J262" s="2" t="s">
        <v>23</v>
      </c>
      <c r="K262" s="2" t="s">
        <v>47</v>
      </c>
      <c r="L262" s="2">
        <v>1.0</v>
      </c>
    </row>
    <row r="263">
      <c r="A263" s="2" t="s">
        <v>546</v>
      </c>
      <c r="B263" s="2" t="s">
        <v>547</v>
      </c>
      <c r="C263" s="3">
        <v>45112.0</v>
      </c>
      <c r="D263" s="3">
        <v>45124.0</v>
      </c>
      <c r="E263" s="2" t="s">
        <v>22</v>
      </c>
      <c r="F263" s="2">
        <v>4.3</v>
      </c>
      <c r="G263" s="2">
        <v>7.0</v>
      </c>
      <c r="H263" s="2">
        <v>1.0</v>
      </c>
      <c r="I263" s="2">
        <v>40.0</v>
      </c>
      <c r="J263" s="2" t="s">
        <v>15</v>
      </c>
      <c r="K263" s="2" t="s">
        <v>26</v>
      </c>
      <c r="L263" s="2">
        <v>1.0</v>
      </c>
    </row>
    <row r="264">
      <c r="A264" s="2" t="s">
        <v>548</v>
      </c>
      <c r="B264" s="2" t="s">
        <v>549</v>
      </c>
      <c r="C264" s="3">
        <v>45073.0</v>
      </c>
      <c r="D264" s="3">
        <v>45085.0</v>
      </c>
      <c r="E264" s="2" t="s">
        <v>38</v>
      </c>
      <c r="F264" s="2">
        <v>3.3</v>
      </c>
      <c r="G264" s="2">
        <v>96.0</v>
      </c>
      <c r="H264" s="2">
        <v>0.0</v>
      </c>
      <c r="I264" s="2">
        <v>39.0</v>
      </c>
      <c r="J264" s="2" t="s">
        <v>23</v>
      </c>
      <c r="K264" s="2" t="s">
        <v>47</v>
      </c>
      <c r="L264" s="2">
        <v>1.0</v>
      </c>
    </row>
    <row r="265">
      <c r="A265" s="2" t="s">
        <v>550</v>
      </c>
      <c r="B265" s="2" t="s">
        <v>551</v>
      </c>
      <c r="C265" s="3">
        <v>45096.0</v>
      </c>
      <c r="D265" s="3">
        <v>45108.0</v>
      </c>
      <c r="E265" s="2" t="s">
        <v>38</v>
      </c>
      <c r="F265" s="2">
        <v>4.5</v>
      </c>
      <c r="G265" s="2">
        <v>20.0</v>
      </c>
      <c r="H265" s="2">
        <v>1.0</v>
      </c>
      <c r="I265" s="2">
        <v>53.0</v>
      </c>
      <c r="J265" s="2" t="s">
        <v>35</v>
      </c>
      <c r="K265" s="2" t="s">
        <v>16</v>
      </c>
      <c r="L265" s="2">
        <v>1.0</v>
      </c>
    </row>
    <row r="266">
      <c r="A266" s="2" t="s">
        <v>552</v>
      </c>
      <c r="B266" s="2" t="s">
        <v>553</v>
      </c>
      <c r="C266" s="3">
        <v>45189.0</v>
      </c>
      <c r="D266" s="3">
        <v>45201.0</v>
      </c>
      <c r="E266" s="2" t="s">
        <v>14</v>
      </c>
      <c r="F266" s="2">
        <v>3.0</v>
      </c>
      <c r="G266" s="2">
        <v>92.0</v>
      </c>
      <c r="H266" s="2">
        <v>0.0</v>
      </c>
      <c r="I266" s="2">
        <v>18.0</v>
      </c>
      <c r="J266" s="2" t="s">
        <v>35</v>
      </c>
      <c r="K266" s="2" t="s">
        <v>16</v>
      </c>
      <c r="L266" s="2">
        <v>0.0</v>
      </c>
    </row>
    <row r="267">
      <c r="A267" s="2" t="s">
        <v>554</v>
      </c>
      <c r="B267" s="2" t="s">
        <v>555</v>
      </c>
      <c r="C267" s="3">
        <v>45155.0</v>
      </c>
      <c r="D267" s="3">
        <v>45167.0</v>
      </c>
      <c r="E267" s="2" t="s">
        <v>14</v>
      </c>
      <c r="F267" s="2">
        <v>1.9</v>
      </c>
      <c r="G267" s="2">
        <v>0.0</v>
      </c>
      <c r="H267" s="2">
        <v>0.0</v>
      </c>
      <c r="I267" s="2">
        <v>44.0</v>
      </c>
      <c r="J267" s="2" t="s">
        <v>15</v>
      </c>
      <c r="K267" s="2" t="s">
        <v>47</v>
      </c>
      <c r="L267" s="2">
        <v>0.0</v>
      </c>
    </row>
    <row r="268">
      <c r="A268" s="2" t="s">
        <v>556</v>
      </c>
      <c r="B268" s="2" t="s">
        <v>557</v>
      </c>
      <c r="C268" s="3">
        <v>45098.0</v>
      </c>
      <c r="D268" s="3">
        <v>45110.0</v>
      </c>
      <c r="E268" s="2" t="s">
        <v>22</v>
      </c>
      <c r="F268" s="2">
        <v>2.2</v>
      </c>
      <c r="G268" s="2">
        <v>73.0</v>
      </c>
      <c r="H268" s="2">
        <v>1.0</v>
      </c>
      <c r="I268" s="2">
        <v>43.0</v>
      </c>
      <c r="J268" s="2" t="s">
        <v>32</v>
      </c>
      <c r="K268" s="2" t="s">
        <v>26</v>
      </c>
      <c r="L268" s="2">
        <v>0.0</v>
      </c>
    </row>
    <row r="269">
      <c r="A269" s="2" t="s">
        <v>558</v>
      </c>
      <c r="B269" s="2" t="s">
        <v>559</v>
      </c>
      <c r="C269" s="3">
        <v>45168.0</v>
      </c>
      <c r="D269" s="3">
        <v>45180.0</v>
      </c>
      <c r="E269" s="2" t="s">
        <v>22</v>
      </c>
      <c r="F269" s="2">
        <v>1.6</v>
      </c>
      <c r="G269" s="2">
        <v>19.0</v>
      </c>
      <c r="H269" s="2">
        <v>1.0</v>
      </c>
      <c r="I269" s="2">
        <v>52.0</v>
      </c>
      <c r="J269" s="2" t="s">
        <v>19</v>
      </c>
      <c r="K269" s="2" t="s">
        <v>47</v>
      </c>
      <c r="L269" s="2">
        <v>1.0</v>
      </c>
    </row>
    <row r="270">
      <c r="A270" s="2" t="s">
        <v>560</v>
      </c>
      <c r="B270" s="2" t="s">
        <v>561</v>
      </c>
      <c r="C270" s="3">
        <v>45258.0</v>
      </c>
      <c r="D270" s="3">
        <v>45270.0</v>
      </c>
      <c r="E270" s="2" t="s">
        <v>38</v>
      </c>
      <c r="F270" s="2">
        <v>1.1</v>
      </c>
      <c r="G270" s="2">
        <v>68.0</v>
      </c>
      <c r="H270" s="2">
        <v>1.0</v>
      </c>
      <c r="I270" s="2">
        <v>46.0</v>
      </c>
      <c r="J270" s="2" t="s">
        <v>15</v>
      </c>
      <c r="K270" s="2" t="s">
        <v>16</v>
      </c>
      <c r="L270" s="2">
        <v>0.0</v>
      </c>
    </row>
    <row r="271">
      <c r="A271" s="2" t="s">
        <v>562</v>
      </c>
      <c r="B271" s="2" t="s">
        <v>563</v>
      </c>
      <c r="C271" s="3">
        <v>45142.0</v>
      </c>
      <c r="D271" s="3">
        <v>45154.0</v>
      </c>
      <c r="E271" s="2" t="s">
        <v>38</v>
      </c>
      <c r="F271" s="2">
        <v>0.7</v>
      </c>
      <c r="G271" s="2">
        <v>81.0</v>
      </c>
      <c r="H271" s="2">
        <v>1.0</v>
      </c>
      <c r="I271" s="2">
        <v>51.0</v>
      </c>
      <c r="J271" s="2" t="s">
        <v>19</v>
      </c>
      <c r="K271" s="2" t="s">
        <v>26</v>
      </c>
      <c r="L271" s="2">
        <v>0.0</v>
      </c>
    </row>
    <row r="272">
      <c r="A272" s="2" t="s">
        <v>564</v>
      </c>
      <c r="B272" s="2" t="s">
        <v>565</v>
      </c>
      <c r="C272" s="3">
        <v>45050.0</v>
      </c>
      <c r="D272" s="3">
        <v>45062.0</v>
      </c>
      <c r="E272" s="2" t="s">
        <v>14</v>
      </c>
      <c r="F272" s="2">
        <v>2.1</v>
      </c>
      <c r="G272" s="2">
        <v>45.0</v>
      </c>
      <c r="H272" s="2">
        <v>0.0</v>
      </c>
      <c r="I272" s="2">
        <v>27.0</v>
      </c>
      <c r="J272" s="2" t="s">
        <v>32</v>
      </c>
      <c r="K272" s="2" t="s">
        <v>26</v>
      </c>
      <c r="L272" s="2">
        <v>0.0</v>
      </c>
    </row>
    <row r="273">
      <c r="A273" s="2" t="s">
        <v>566</v>
      </c>
      <c r="B273" s="2" t="s">
        <v>567</v>
      </c>
      <c r="C273" s="3">
        <v>45207.0</v>
      </c>
      <c r="D273" s="3">
        <v>45219.0</v>
      </c>
      <c r="E273" s="2" t="s">
        <v>22</v>
      </c>
      <c r="F273" s="2">
        <v>5.0</v>
      </c>
      <c r="G273" s="2">
        <v>70.0</v>
      </c>
      <c r="H273" s="2">
        <v>0.0</v>
      </c>
      <c r="I273" s="2">
        <v>34.0</v>
      </c>
      <c r="J273" s="2" t="s">
        <v>32</v>
      </c>
      <c r="K273" s="2" t="s">
        <v>47</v>
      </c>
      <c r="L273" s="2">
        <v>0.0</v>
      </c>
    </row>
    <row r="274">
      <c r="A274" s="2" t="s">
        <v>568</v>
      </c>
      <c r="B274" s="2" t="s">
        <v>569</v>
      </c>
      <c r="C274" s="3">
        <v>44977.0</v>
      </c>
      <c r="D274" s="3">
        <v>44989.0</v>
      </c>
      <c r="E274" s="2" t="s">
        <v>14</v>
      </c>
      <c r="F274" s="2">
        <v>3.4</v>
      </c>
      <c r="G274" s="2">
        <v>93.0</v>
      </c>
      <c r="H274" s="2">
        <v>1.0</v>
      </c>
      <c r="I274" s="2">
        <v>35.0</v>
      </c>
      <c r="J274" s="2" t="s">
        <v>19</v>
      </c>
      <c r="K274" s="2" t="s">
        <v>16</v>
      </c>
      <c r="L274" s="2">
        <v>1.0</v>
      </c>
    </row>
    <row r="275">
      <c r="A275" s="2" t="s">
        <v>570</v>
      </c>
      <c r="B275" s="2" t="s">
        <v>571</v>
      </c>
      <c r="C275" s="3">
        <v>45044.0</v>
      </c>
      <c r="D275" s="3">
        <v>45056.0</v>
      </c>
      <c r="E275" s="2" t="s">
        <v>14</v>
      </c>
      <c r="F275" s="2">
        <v>2.3</v>
      </c>
      <c r="G275" s="2">
        <v>32.0</v>
      </c>
      <c r="H275" s="2">
        <v>1.0</v>
      </c>
      <c r="I275" s="2">
        <v>38.0</v>
      </c>
      <c r="J275" s="2" t="s">
        <v>35</v>
      </c>
      <c r="K275" s="2" t="s">
        <v>47</v>
      </c>
      <c r="L275" s="2">
        <v>0.0</v>
      </c>
    </row>
    <row r="276">
      <c r="A276" s="2" t="s">
        <v>572</v>
      </c>
      <c r="B276" s="2" t="s">
        <v>573</v>
      </c>
      <c r="C276" s="3">
        <v>45010.0</v>
      </c>
      <c r="D276" s="3">
        <v>45022.0</v>
      </c>
      <c r="E276" s="2" t="s">
        <v>22</v>
      </c>
      <c r="F276" s="2">
        <v>3.7</v>
      </c>
      <c r="G276" s="2">
        <v>9.0</v>
      </c>
      <c r="H276" s="2">
        <v>1.0</v>
      </c>
      <c r="I276" s="2">
        <v>53.0</v>
      </c>
      <c r="J276" s="2" t="s">
        <v>35</v>
      </c>
      <c r="K276" s="2" t="s">
        <v>47</v>
      </c>
      <c r="L276" s="2">
        <v>1.0</v>
      </c>
    </row>
    <row r="277">
      <c r="A277" s="2" t="s">
        <v>574</v>
      </c>
      <c r="B277" s="2" t="s">
        <v>575</v>
      </c>
      <c r="C277" s="3">
        <v>45185.0</v>
      </c>
      <c r="D277" s="3">
        <v>45197.0</v>
      </c>
      <c r="E277" s="2" t="s">
        <v>14</v>
      </c>
      <c r="F277" s="2">
        <v>1.3</v>
      </c>
      <c r="G277" s="2">
        <v>37.0</v>
      </c>
      <c r="H277" s="2">
        <v>0.0</v>
      </c>
      <c r="I277" s="2">
        <v>50.0</v>
      </c>
      <c r="J277" s="2" t="s">
        <v>35</v>
      </c>
      <c r="K277" s="2" t="s">
        <v>26</v>
      </c>
      <c r="L277" s="2">
        <v>1.0</v>
      </c>
    </row>
    <row r="278">
      <c r="A278" s="2" t="s">
        <v>576</v>
      </c>
      <c r="B278" s="2" t="s">
        <v>577</v>
      </c>
      <c r="C278" s="3">
        <v>44955.0</v>
      </c>
      <c r="D278" s="3">
        <v>44967.0</v>
      </c>
      <c r="E278" s="2" t="s">
        <v>14</v>
      </c>
      <c r="F278" s="2">
        <v>1.5</v>
      </c>
      <c r="G278" s="2">
        <v>95.0</v>
      </c>
      <c r="H278" s="2">
        <v>0.0</v>
      </c>
      <c r="I278" s="2">
        <v>15.0</v>
      </c>
      <c r="J278" s="2" t="s">
        <v>23</v>
      </c>
      <c r="K278" s="2" t="s">
        <v>16</v>
      </c>
      <c r="L278" s="2">
        <v>1.0</v>
      </c>
    </row>
    <row r="279">
      <c r="A279" s="2" t="s">
        <v>578</v>
      </c>
      <c r="B279" s="2" t="s">
        <v>579</v>
      </c>
      <c r="C279" s="3">
        <v>44965.0</v>
      </c>
      <c r="D279" s="3">
        <v>44977.0</v>
      </c>
      <c r="E279" s="2" t="s">
        <v>29</v>
      </c>
      <c r="F279" s="2">
        <v>3.9</v>
      </c>
      <c r="G279" s="2">
        <v>76.0</v>
      </c>
      <c r="H279" s="2">
        <v>0.0</v>
      </c>
      <c r="I279" s="2">
        <v>49.0</v>
      </c>
      <c r="J279" s="2" t="s">
        <v>15</v>
      </c>
      <c r="K279" s="2" t="s">
        <v>16</v>
      </c>
      <c r="L279" s="2">
        <v>1.0</v>
      </c>
    </row>
    <row r="280">
      <c r="A280" s="2" t="s">
        <v>580</v>
      </c>
      <c r="B280" s="2" t="s">
        <v>581</v>
      </c>
      <c r="C280" s="3">
        <v>45175.0</v>
      </c>
      <c r="D280" s="3">
        <v>45187.0</v>
      </c>
      <c r="E280" s="2" t="s">
        <v>22</v>
      </c>
      <c r="F280" s="2">
        <v>0.1</v>
      </c>
      <c r="G280" s="2">
        <v>42.0</v>
      </c>
      <c r="H280" s="2">
        <v>0.0</v>
      </c>
      <c r="I280" s="2">
        <v>46.0</v>
      </c>
      <c r="J280" s="2" t="s">
        <v>35</v>
      </c>
      <c r="K280" s="2" t="s">
        <v>16</v>
      </c>
      <c r="L280" s="2">
        <v>0.0</v>
      </c>
    </row>
    <row r="281">
      <c r="A281" s="2" t="s">
        <v>582</v>
      </c>
      <c r="B281" s="2" t="s">
        <v>583</v>
      </c>
      <c r="C281" s="3">
        <v>45226.0</v>
      </c>
      <c r="D281" s="3">
        <v>45238.0</v>
      </c>
      <c r="E281" s="2" t="s">
        <v>14</v>
      </c>
      <c r="F281" s="2">
        <v>2.6</v>
      </c>
      <c r="G281" s="2">
        <v>43.0</v>
      </c>
      <c r="H281" s="2">
        <v>1.0</v>
      </c>
      <c r="I281" s="2">
        <v>54.0</v>
      </c>
      <c r="J281" s="2" t="s">
        <v>23</v>
      </c>
      <c r="K281" s="2" t="s">
        <v>47</v>
      </c>
      <c r="L281" s="2">
        <v>0.0</v>
      </c>
    </row>
    <row r="282">
      <c r="A282" s="2" t="s">
        <v>584</v>
      </c>
      <c r="B282" s="2" t="s">
        <v>585</v>
      </c>
      <c r="C282" s="3">
        <v>45280.0</v>
      </c>
      <c r="D282" s="3">
        <v>45292.0</v>
      </c>
      <c r="E282" s="2" t="s">
        <v>29</v>
      </c>
      <c r="F282" s="2">
        <v>3.2</v>
      </c>
      <c r="G282" s="2">
        <v>85.0</v>
      </c>
      <c r="H282" s="2">
        <v>0.0</v>
      </c>
      <c r="I282" s="2">
        <v>48.0</v>
      </c>
      <c r="J282" s="2" t="s">
        <v>15</v>
      </c>
      <c r="K282" s="2" t="s">
        <v>16</v>
      </c>
      <c r="L282" s="2">
        <v>1.0</v>
      </c>
    </row>
    <row r="283">
      <c r="A283" s="2" t="s">
        <v>586</v>
      </c>
      <c r="B283" s="2" t="s">
        <v>587</v>
      </c>
      <c r="C283" s="3">
        <v>44940.0</v>
      </c>
      <c r="D283" s="3">
        <v>44952.0</v>
      </c>
      <c r="E283" s="2" t="s">
        <v>14</v>
      </c>
      <c r="F283" s="2">
        <v>0.0</v>
      </c>
      <c r="G283" s="2">
        <v>50.0</v>
      </c>
      <c r="H283" s="2">
        <v>1.0</v>
      </c>
      <c r="I283" s="2">
        <v>52.0</v>
      </c>
      <c r="J283" s="2" t="s">
        <v>19</v>
      </c>
      <c r="K283" s="2" t="s">
        <v>16</v>
      </c>
      <c r="L283" s="2">
        <v>0.0</v>
      </c>
    </row>
    <row r="284">
      <c r="A284" s="2" t="s">
        <v>588</v>
      </c>
      <c r="B284" s="2" t="s">
        <v>589</v>
      </c>
      <c r="C284" s="3">
        <v>45228.0</v>
      </c>
      <c r="D284" s="3">
        <v>45240.0</v>
      </c>
      <c r="E284" s="2" t="s">
        <v>14</v>
      </c>
      <c r="F284" s="2">
        <v>0.8</v>
      </c>
      <c r="G284" s="2">
        <v>23.0</v>
      </c>
      <c r="H284" s="2">
        <v>1.0</v>
      </c>
      <c r="I284" s="2">
        <v>43.0</v>
      </c>
      <c r="J284" s="2" t="s">
        <v>35</v>
      </c>
      <c r="K284" s="2" t="s">
        <v>26</v>
      </c>
      <c r="L284" s="2">
        <v>1.0</v>
      </c>
    </row>
    <row r="285">
      <c r="A285" s="2" t="s">
        <v>590</v>
      </c>
      <c r="B285" s="2" t="s">
        <v>591</v>
      </c>
      <c r="C285" s="3">
        <v>44960.0</v>
      </c>
      <c r="D285" s="3">
        <v>44972.0</v>
      </c>
      <c r="E285" s="2" t="s">
        <v>14</v>
      </c>
      <c r="F285" s="2">
        <v>4.0</v>
      </c>
      <c r="G285" s="2">
        <v>75.0</v>
      </c>
      <c r="H285" s="2">
        <v>1.0</v>
      </c>
      <c r="I285" s="2">
        <v>26.0</v>
      </c>
      <c r="J285" s="2" t="s">
        <v>35</v>
      </c>
      <c r="K285" s="2" t="s">
        <v>16</v>
      </c>
      <c r="L285" s="2">
        <v>1.0</v>
      </c>
    </row>
    <row r="286">
      <c r="A286" s="2" t="s">
        <v>592</v>
      </c>
      <c r="B286" s="2" t="s">
        <v>593</v>
      </c>
      <c r="C286" s="3">
        <v>45193.0</v>
      </c>
      <c r="D286" s="3">
        <v>45205.0</v>
      </c>
      <c r="E286" s="2" t="s">
        <v>14</v>
      </c>
      <c r="F286" s="2">
        <v>2.7</v>
      </c>
      <c r="G286" s="2">
        <v>80.0</v>
      </c>
      <c r="H286" s="2">
        <v>0.0</v>
      </c>
      <c r="I286" s="2">
        <v>13.0</v>
      </c>
      <c r="J286" s="2" t="s">
        <v>35</v>
      </c>
      <c r="K286" s="2" t="s">
        <v>16</v>
      </c>
      <c r="L286" s="2">
        <v>1.0</v>
      </c>
    </row>
    <row r="287">
      <c r="A287" s="2" t="s">
        <v>594</v>
      </c>
      <c r="B287" s="2" t="s">
        <v>595</v>
      </c>
      <c r="C287" s="3">
        <v>45270.0</v>
      </c>
      <c r="D287" s="3">
        <v>45282.0</v>
      </c>
      <c r="E287" s="2" t="s">
        <v>22</v>
      </c>
      <c r="F287" s="2">
        <v>3.6</v>
      </c>
      <c r="G287" s="2">
        <v>44.0</v>
      </c>
      <c r="H287" s="2">
        <v>1.0</v>
      </c>
      <c r="I287" s="2">
        <v>12.0</v>
      </c>
      <c r="J287" s="2" t="s">
        <v>23</v>
      </c>
      <c r="K287" s="2" t="s">
        <v>26</v>
      </c>
      <c r="L287" s="2">
        <v>1.0</v>
      </c>
    </row>
    <row r="288">
      <c r="A288" s="2" t="s">
        <v>596</v>
      </c>
      <c r="B288" s="2" t="s">
        <v>597</v>
      </c>
      <c r="C288" s="3">
        <v>45260.0</v>
      </c>
      <c r="D288" s="3">
        <v>45272.0</v>
      </c>
      <c r="E288" s="2" t="s">
        <v>14</v>
      </c>
      <c r="F288" s="2">
        <v>4.2</v>
      </c>
      <c r="G288" s="2">
        <v>13.0</v>
      </c>
      <c r="H288" s="2">
        <v>0.0</v>
      </c>
      <c r="I288" s="2">
        <v>18.0</v>
      </c>
      <c r="J288" s="2" t="s">
        <v>35</v>
      </c>
      <c r="K288" s="2" t="s">
        <v>16</v>
      </c>
      <c r="L288" s="2">
        <v>0.0</v>
      </c>
    </row>
    <row r="289">
      <c r="A289" s="2" t="s">
        <v>598</v>
      </c>
      <c r="B289" s="2" t="s">
        <v>599</v>
      </c>
      <c r="C289" s="3">
        <v>45213.0</v>
      </c>
      <c r="D289" s="3">
        <v>45225.0</v>
      </c>
      <c r="E289" s="2" t="s">
        <v>29</v>
      </c>
      <c r="F289" s="2">
        <v>3.5</v>
      </c>
      <c r="G289" s="2">
        <v>82.0</v>
      </c>
      <c r="H289" s="2">
        <v>0.0</v>
      </c>
      <c r="I289" s="2">
        <v>29.0</v>
      </c>
      <c r="J289" s="2" t="s">
        <v>15</v>
      </c>
      <c r="K289" s="2" t="s">
        <v>26</v>
      </c>
      <c r="L289" s="2">
        <v>0.0</v>
      </c>
    </row>
    <row r="290">
      <c r="A290" s="2" t="s">
        <v>600</v>
      </c>
      <c r="B290" s="2" t="s">
        <v>601</v>
      </c>
      <c r="C290" s="3">
        <v>44991.0</v>
      </c>
      <c r="D290" s="3">
        <v>45003.0</v>
      </c>
      <c r="E290" s="2" t="s">
        <v>22</v>
      </c>
      <c r="F290" s="2">
        <v>1.4</v>
      </c>
      <c r="G290" s="2">
        <v>65.0</v>
      </c>
      <c r="H290" s="2">
        <v>0.0</v>
      </c>
      <c r="I290" s="2">
        <v>51.0</v>
      </c>
      <c r="J290" s="2" t="s">
        <v>15</v>
      </c>
      <c r="K290" s="2" t="s">
        <v>47</v>
      </c>
      <c r="L290" s="2">
        <v>1.0</v>
      </c>
    </row>
    <row r="291">
      <c r="A291" s="2" t="s">
        <v>602</v>
      </c>
      <c r="B291" s="2" t="s">
        <v>603</v>
      </c>
      <c r="C291" s="3">
        <v>45290.0</v>
      </c>
      <c r="D291" s="3">
        <v>45302.0</v>
      </c>
      <c r="E291" s="2" t="s">
        <v>38</v>
      </c>
      <c r="F291" s="2">
        <v>1.0</v>
      </c>
      <c r="G291" s="2">
        <v>69.0</v>
      </c>
      <c r="H291" s="2">
        <v>1.0</v>
      </c>
      <c r="I291" s="2">
        <v>55.0</v>
      </c>
      <c r="J291" s="2" t="s">
        <v>23</v>
      </c>
      <c r="K291" s="2" t="s">
        <v>26</v>
      </c>
      <c r="L291" s="2">
        <v>1.0</v>
      </c>
    </row>
    <row r="292">
      <c r="A292" s="2" t="s">
        <v>604</v>
      </c>
      <c r="B292" s="2" t="s">
        <v>605</v>
      </c>
      <c r="C292" s="3">
        <v>45126.0</v>
      </c>
      <c r="D292" s="3">
        <v>45138.0</v>
      </c>
      <c r="E292" s="2" t="s">
        <v>22</v>
      </c>
      <c r="F292" s="2">
        <v>0.5</v>
      </c>
      <c r="G292" s="2">
        <v>10.0</v>
      </c>
      <c r="H292" s="2">
        <v>0.0</v>
      </c>
      <c r="I292" s="2">
        <v>20.0</v>
      </c>
      <c r="J292" s="2" t="s">
        <v>32</v>
      </c>
      <c r="K292" s="2" t="s">
        <v>26</v>
      </c>
      <c r="L292" s="2">
        <v>0.0</v>
      </c>
    </row>
    <row r="293">
      <c r="A293" s="2" t="s">
        <v>606</v>
      </c>
      <c r="B293" s="2" t="s">
        <v>607</v>
      </c>
      <c r="C293" s="3">
        <v>45250.0</v>
      </c>
      <c r="D293" s="3">
        <v>45262.0</v>
      </c>
      <c r="E293" s="2" t="s">
        <v>22</v>
      </c>
      <c r="F293" s="2">
        <v>1.2</v>
      </c>
      <c r="G293" s="2">
        <v>59.0</v>
      </c>
      <c r="H293" s="2">
        <v>1.0</v>
      </c>
      <c r="I293" s="2">
        <v>30.0</v>
      </c>
      <c r="J293" s="2" t="s">
        <v>15</v>
      </c>
      <c r="K293" s="2" t="s">
        <v>47</v>
      </c>
      <c r="L293" s="2">
        <v>1.0</v>
      </c>
    </row>
    <row r="294">
      <c r="A294" s="2" t="s">
        <v>608</v>
      </c>
      <c r="B294" s="2" t="s">
        <v>609</v>
      </c>
      <c r="C294" s="3">
        <v>45053.0</v>
      </c>
      <c r="D294" s="3">
        <v>45065.0</v>
      </c>
      <c r="E294" s="2" t="s">
        <v>38</v>
      </c>
      <c r="F294" s="2">
        <v>4.7</v>
      </c>
      <c r="G294" s="2">
        <v>94.0</v>
      </c>
      <c r="H294" s="2">
        <v>0.0</v>
      </c>
      <c r="I294" s="2">
        <v>25.0</v>
      </c>
      <c r="J294" s="2" t="s">
        <v>23</v>
      </c>
      <c r="K294" s="2" t="s">
        <v>47</v>
      </c>
      <c r="L294" s="2">
        <v>1.0</v>
      </c>
    </row>
    <row r="295">
      <c r="A295" s="2" t="s">
        <v>610</v>
      </c>
      <c r="B295" s="2" t="s">
        <v>611</v>
      </c>
      <c r="C295" s="3">
        <v>45055.0</v>
      </c>
      <c r="D295" s="3">
        <v>45067.0</v>
      </c>
      <c r="E295" s="2" t="s">
        <v>38</v>
      </c>
      <c r="F295" s="2">
        <v>4.9</v>
      </c>
      <c r="G295" s="2">
        <v>8.0</v>
      </c>
      <c r="H295" s="2">
        <v>1.0</v>
      </c>
      <c r="I295" s="2">
        <v>21.0</v>
      </c>
      <c r="J295" s="2" t="s">
        <v>15</v>
      </c>
      <c r="K295" s="2" t="s">
        <v>47</v>
      </c>
      <c r="L295" s="2">
        <v>1.0</v>
      </c>
    </row>
    <row r="296">
      <c r="A296" s="2" t="s">
        <v>612</v>
      </c>
      <c r="B296" s="2" t="s">
        <v>613</v>
      </c>
      <c r="C296" s="3">
        <v>45278.0</v>
      </c>
      <c r="D296" s="3">
        <v>45290.0</v>
      </c>
      <c r="E296" s="2" t="s">
        <v>29</v>
      </c>
      <c r="F296" s="2">
        <v>4.8</v>
      </c>
      <c r="G296" s="2">
        <v>78.0</v>
      </c>
      <c r="H296" s="2">
        <v>1.0</v>
      </c>
      <c r="I296" s="2">
        <v>44.0</v>
      </c>
      <c r="J296" s="2" t="s">
        <v>32</v>
      </c>
      <c r="K296" s="2" t="s">
        <v>16</v>
      </c>
      <c r="L296" s="2">
        <v>1.0</v>
      </c>
    </row>
    <row r="297">
      <c r="A297" s="2" t="s">
        <v>614</v>
      </c>
      <c r="B297" s="2" t="s">
        <v>615</v>
      </c>
      <c r="C297" s="3">
        <v>45250.0</v>
      </c>
      <c r="D297" s="3">
        <v>45262.0</v>
      </c>
      <c r="E297" s="2" t="s">
        <v>22</v>
      </c>
      <c r="F297" s="2">
        <v>4.6</v>
      </c>
      <c r="G297" s="2">
        <v>47.0</v>
      </c>
      <c r="H297" s="2">
        <v>0.0</v>
      </c>
      <c r="I297" s="2">
        <v>19.0</v>
      </c>
      <c r="J297" s="2" t="s">
        <v>15</v>
      </c>
      <c r="K297" s="2" t="s">
        <v>26</v>
      </c>
      <c r="L297" s="2">
        <v>1.0</v>
      </c>
    </row>
    <row r="298">
      <c r="A298" s="2" t="s">
        <v>616</v>
      </c>
      <c r="B298" s="2" t="s">
        <v>617</v>
      </c>
      <c r="C298" s="3">
        <v>44938.0</v>
      </c>
      <c r="D298" s="3">
        <v>44950.0</v>
      </c>
      <c r="E298" s="2" t="s">
        <v>14</v>
      </c>
      <c r="F298" s="2">
        <v>2.4</v>
      </c>
      <c r="G298" s="2">
        <v>17.0</v>
      </c>
      <c r="H298" s="2">
        <v>1.0</v>
      </c>
      <c r="I298" s="2">
        <v>32.0</v>
      </c>
      <c r="J298" s="2" t="s">
        <v>35</v>
      </c>
      <c r="K298" s="2" t="s">
        <v>47</v>
      </c>
      <c r="L298" s="2">
        <v>1.0</v>
      </c>
    </row>
    <row r="299">
      <c r="A299" s="2" t="s">
        <v>618</v>
      </c>
      <c r="B299" s="2" t="s">
        <v>619</v>
      </c>
      <c r="C299" s="3">
        <v>44947.0</v>
      </c>
      <c r="D299" s="3">
        <v>44959.0</v>
      </c>
      <c r="E299" s="2" t="s">
        <v>29</v>
      </c>
      <c r="F299" s="2">
        <v>0.4</v>
      </c>
      <c r="G299" s="2">
        <v>6.0</v>
      </c>
      <c r="H299" s="2">
        <v>0.0</v>
      </c>
      <c r="I299" s="2">
        <v>47.0</v>
      </c>
      <c r="J299" s="2" t="s">
        <v>32</v>
      </c>
      <c r="K299" s="2" t="s">
        <v>47</v>
      </c>
      <c r="L299" s="2">
        <v>0.0</v>
      </c>
    </row>
    <row r="300">
      <c r="A300" s="2" t="s">
        <v>620</v>
      </c>
      <c r="B300" s="2" t="s">
        <v>621</v>
      </c>
      <c r="C300" s="3">
        <v>45184.0</v>
      </c>
      <c r="D300" s="3">
        <v>45196.0</v>
      </c>
      <c r="E300" s="2" t="s">
        <v>14</v>
      </c>
      <c r="F300" s="2">
        <v>0.3</v>
      </c>
      <c r="G300" s="2">
        <v>35.0</v>
      </c>
      <c r="H300" s="2">
        <v>1.0</v>
      </c>
      <c r="I300" s="2">
        <v>37.0</v>
      </c>
      <c r="J300" s="2" t="s">
        <v>19</v>
      </c>
      <c r="K300" s="2" t="s">
        <v>26</v>
      </c>
      <c r="L300" s="2">
        <v>1.0</v>
      </c>
    </row>
    <row r="301">
      <c r="A301" s="2" t="s">
        <v>622</v>
      </c>
      <c r="B301" s="2" t="s">
        <v>623</v>
      </c>
      <c r="C301" s="3">
        <v>45125.0</v>
      </c>
      <c r="D301" s="3">
        <v>45137.0</v>
      </c>
      <c r="E301" s="2" t="s">
        <v>22</v>
      </c>
      <c r="F301" s="2">
        <v>0.2</v>
      </c>
      <c r="G301" s="2">
        <v>15.0</v>
      </c>
      <c r="H301" s="2">
        <v>1.0</v>
      </c>
      <c r="I301" s="2">
        <v>23.0</v>
      </c>
      <c r="J301" s="2" t="s">
        <v>19</v>
      </c>
      <c r="K301" s="2" t="s">
        <v>47</v>
      </c>
      <c r="L301" s="2">
        <v>1.0</v>
      </c>
    </row>
    <row r="302">
      <c r="A302" s="2" t="s">
        <v>624</v>
      </c>
      <c r="B302" s="2" t="s">
        <v>625</v>
      </c>
      <c r="C302" s="3">
        <v>45165.0</v>
      </c>
      <c r="D302" s="3">
        <v>45177.0</v>
      </c>
      <c r="E302" s="2" t="s">
        <v>14</v>
      </c>
      <c r="F302" s="2">
        <v>2.9</v>
      </c>
      <c r="G302" s="2">
        <v>72.0</v>
      </c>
      <c r="H302" s="2">
        <v>1.0</v>
      </c>
      <c r="I302" s="2">
        <v>39.0</v>
      </c>
      <c r="J302" s="2" t="s">
        <v>23</v>
      </c>
      <c r="K302" s="2" t="s">
        <v>16</v>
      </c>
      <c r="L302" s="2">
        <v>1.0</v>
      </c>
    </row>
    <row r="303">
      <c r="A303" s="2" t="s">
        <v>626</v>
      </c>
      <c r="B303" s="2" t="s">
        <v>627</v>
      </c>
      <c r="C303" s="3">
        <v>45251.0</v>
      </c>
      <c r="D303" s="3">
        <v>45263.0</v>
      </c>
      <c r="E303" s="2" t="s">
        <v>14</v>
      </c>
      <c r="F303" s="2">
        <v>2.5</v>
      </c>
      <c r="G303" s="2">
        <v>31.0</v>
      </c>
      <c r="H303" s="2">
        <v>0.0</v>
      </c>
      <c r="I303" s="2">
        <v>41.0</v>
      </c>
      <c r="J303" s="2" t="s">
        <v>23</v>
      </c>
      <c r="K303" s="2" t="s">
        <v>16</v>
      </c>
      <c r="L303" s="2">
        <v>1.0</v>
      </c>
    </row>
    <row r="304">
      <c r="A304" s="2" t="s">
        <v>628</v>
      </c>
      <c r="B304" s="2" t="s">
        <v>629</v>
      </c>
      <c r="C304" s="3">
        <v>45097.0</v>
      </c>
      <c r="D304" s="3">
        <v>45109.0</v>
      </c>
      <c r="E304" s="2" t="s">
        <v>29</v>
      </c>
      <c r="F304" s="2">
        <v>4.1</v>
      </c>
      <c r="G304" s="2">
        <v>22.0</v>
      </c>
      <c r="H304" s="2">
        <v>1.0</v>
      </c>
      <c r="I304" s="2">
        <v>36.0</v>
      </c>
      <c r="J304" s="2" t="s">
        <v>15</v>
      </c>
      <c r="K304" s="2" t="s">
        <v>26</v>
      </c>
      <c r="L304" s="2">
        <v>1.0</v>
      </c>
    </row>
    <row r="305">
      <c r="A305" s="2" t="s">
        <v>630</v>
      </c>
      <c r="B305" s="2" t="s">
        <v>631</v>
      </c>
      <c r="C305" s="3">
        <v>45282.0</v>
      </c>
      <c r="D305" s="3">
        <v>45294.0</v>
      </c>
      <c r="E305" s="2" t="s">
        <v>38</v>
      </c>
      <c r="F305" s="2">
        <v>0.6</v>
      </c>
      <c r="G305" s="2">
        <v>51.0</v>
      </c>
      <c r="H305" s="2">
        <v>0.0</v>
      </c>
      <c r="I305" s="2">
        <v>24.0</v>
      </c>
      <c r="J305" s="2" t="s">
        <v>32</v>
      </c>
      <c r="K305" s="2" t="s">
        <v>16</v>
      </c>
      <c r="L305" s="2">
        <v>0.0</v>
      </c>
    </row>
    <row r="306">
      <c r="A306" s="2" t="s">
        <v>632</v>
      </c>
      <c r="B306" s="2" t="s">
        <v>633</v>
      </c>
      <c r="C306" s="3">
        <v>45051.0</v>
      </c>
      <c r="D306" s="3">
        <v>45063.0</v>
      </c>
      <c r="E306" s="2" t="s">
        <v>22</v>
      </c>
      <c r="F306" s="2">
        <v>1.7</v>
      </c>
      <c r="G306" s="2">
        <v>65.0</v>
      </c>
      <c r="H306" s="2">
        <v>1.0</v>
      </c>
      <c r="I306" s="2">
        <v>28.0</v>
      </c>
      <c r="J306" s="2" t="s">
        <v>32</v>
      </c>
      <c r="K306" s="2" t="s">
        <v>26</v>
      </c>
      <c r="L306" s="2">
        <v>1.0</v>
      </c>
    </row>
    <row r="307">
      <c r="A307" s="2" t="s">
        <v>634</v>
      </c>
      <c r="B307" s="2" t="s">
        <v>635</v>
      </c>
      <c r="C307" s="3">
        <v>45166.0</v>
      </c>
      <c r="D307" s="3">
        <v>45178.0</v>
      </c>
      <c r="E307" s="2" t="s">
        <v>29</v>
      </c>
      <c r="F307" s="2">
        <v>4.4</v>
      </c>
      <c r="G307" s="2">
        <v>48.0</v>
      </c>
      <c r="H307" s="2">
        <v>1.0</v>
      </c>
      <c r="I307" s="2">
        <v>16.0</v>
      </c>
      <c r="J307" s="2" t="s">
        <v>23</v>
      </c>
      <c r="K307" s="2" t="s">
        <v>47</v>
      </c>
      <c r="L307" s="2">
        <v>1.0</v>
      </c>
    </row>
    <row r="308">
      <c r="A308" s="2" t="s">
        <v>636</v>
      </c>
      <c r="B308" s="2" t="s">
        <v>637</v>
      </c>
      <c r="C308" s="3">
        <v>45205.0</v>
      </c>
      <c r="D308" s="3">
        <v>45217.0</v>
      </c>
      <c r="E308" s="2" t="s">
        <v>38</v>
      </c>
      <c r="F308" s="2">
        <v>0.6</v>
      </c>
      <c r="G308" s="2">
        <v>42.0</v>
      </c>
      <c r="H308" s="2">
        <v>0.0</v>
      </c>
      <c r="I308" s="2">
        <v>14.0</v>
      </c>
      <c r="J308" s="2" t="s">
        <v>32</v>
      </c>
      <c r="K308" s="2" t="s">
        <v>16</v>
      </c>
      <c r="L308" s="2">
        <v>0.0</v>
      </c>
    </row>
    <row r="309">
      <c r="A309" s="2" t="s">
        <v>638</v>
      </c>
      <c r="B309" s="2" t="s">
        <v>639</v>
      </c>
      <c r="C309" s="3">
        <v>45085.0</v>
      </c>
      <c r="D309" s="3">
        <v>45097.0</v>
      </c>
      <c r="E309" s="2" t="s">
        <v>38</v>
      </c>
      <c r="F309" s="2">
        <v>4.9</v>
      </c>
      <c r="G309" s="2">
        <v>82.0</v>
      </c>
      <c r="H309" s="2">
        <v>0.0</v>
      </c>
      <c r="I309" s="2">
        <v>33.0</v>
      </c>
      <c r="J309" s="2" t="s">
        <v>19</v>
      </c>
      <c r="K309" s="2" t="s">
        <v>47</v>
      </c>
      <c r="L309" s="2">
        <v>1.0</v>
      </c>
    </row>
    <row r="310">
      <c r="A310" s="2" t="s">
        <v>640</v>
      </c>
      <c r="B310" s="2" t="s">
        <v>641</v>
      </c>
      <c r="C310" s="3">
        <v>44965.0</v>
      </c>
      <c r="D310" s="3">
        <v>44977.0</v>
      </c>
      <c r="E310" s="2" t="s">
        <v>29</v>
      </c>
      <c r="F310" s="2">
        <v>0.1</v>
      </c>
      <c r="G310" s="2">
        <v>37.0</v>
      </c>
      <c r="H310" s="2">
        <v>0.0</v>
      </c>
      <c r="I310" s="2">
        <v>22.0</v>
      </c>
      <c r="J310" s="2" t="s">
        <v>15</v>
      </c>
      <c r="K310" s="2" t="s">
        <v>26</v>
      </c>
      <c r="L310" s="2">
        <v>1.0</v>
      </c>
    </row>
    <row r="311">
      <c r="A311" s="2" t="s">
        <v>642</v>
      </c>
      <c r="B311" s="2" t="s">
        <v>643</v>
      </c>
      <c r="C311" s="3">
        <v>45258.0</v>
      </c>
      <c r="D311" s="3">
        <v>45270.0</v>
      </c>
      <c r="E311" s="2" t="s">
        <v>38</v>
      </c>
      <c r="F311" s="2">
        <v>1.2</v>
      </c>
      <c r="G311" s="2">
        <v>74.0</v>
      </c>
      <c r="H311" s="2">
        <v>1.0</v>
      </c>
      <c r="I311" s="2">
        <v>40.0</v>
      </c>
      <c r="J311" s="2" t="s">
        <v>32</v>
      </c>
      <c r="K311" s="2" t="s">
        <v>16</v>
      </c>
      <c r="L311" s="2">
        <v>1.0</v>
      </c>
    </row>
    <row r="312">
      <c r="A312" s="2" t="s">
        <v>644</v>
      </c>
      <c r="B312" s="2" t="s">
        <v>645</v>
      </c>
      <c r="C312" s="3">
        <v>45235.0</v>
      </c>
      <c r="D312" s="3">
        <v>45247.0</v>
      </c>
      <c r="E312" s="2" t="s">
        <v>29</v>
      </c>
      <c r="F312" s="2">
        <v>1.6</v>
      </c>
      <c r="G312" s="2">
        <v>32.0</v>
      </c>
      <c r="H312" s="2">
        <v>1.0</v>
      </c>
      <c r="I312" s="2">
        <v>17.0</v>
      </c>
      <c r="J312" s="2" t="s">
        <v>23</v>
      </c>
      <c r="K312" s="2" t="s">
        <v>16</v>
      </c>
      <c r="L312" s="2">
        <v>0.0</v>
      </c>
    </row>
    <row r="313">
      <c r="A313" s="2" t="s">
        <v>646</v>
      </c>
      <c r="B313" s="2" t="s">
        <v>647</v>
      </c>
      <c r="C313" s="3">
        <v>45281.0</v>
      </c>
      <c r="D313" s="3">
        <v>45293.0</v>
      </c>
      <c r="E313" s="2" t="s">
        <v>29</v>
      </c>
      <c r="F313" s="2">
        <v>3.2</v>
      </c>
      <c r="G313" s="2">
        <v>8.0</v>
      </c>
      <c r="H313" s="2">
        <v>1.0</v>
      </c>
      <c r="I313" s="2">
        <v>42.0</v>
      </c>
      <c r="J313" s="2" t="s">
        <v>15</v>
      </c>
      <c r="K313" s="2" t="s">
        <v>16</v>
      </c>
      <c r="L313" s="2">
        <v>1.0</v>
      </c>
    </row>
    <row r="314">
      <c r="A314" s="2" t="s">
        <v>648</v>
      </c>
      <c r="B314" s="2" t="s">
        <v>649</v>
      </c>
      <c r="C314" s="3">
        <v>45122.0</v>
      </c>
      <c r="D314" s="3">
        <v>45134.0</v>
      </c>
      <c r="E314" s="2" t="s">
        <v>29</v>
      </c>
      <c r="F314" s="2">
        <v>1.0</v>
      </c>
      <c r="G314" s="2">
        <v>44.0</v>
      </c>
      <c r="H314" s="2">
        <v>1.0</v>
      </c>
      <c r="I314" s="2">
        <v>45.0</v>
      </c>
      <c r="J314" s="2" t="s">
        <v>15</v>
      </c>
      <c r="K314" s="2" t="s">
        <v>16</v>
      </c>
      <c r="L314" s="2">
        <v>1.0</v>
      </c>
    </row>
    <row r="315">
      <c r="A315" s="2" t="s">
        <v>650</v>
      </c>
      <c r="B315" s="2" t="s">
        <v>651</v>
      </c>
      <c r="C315" s="3">
        <v>45119.0</v>
      </c>
      <c r="D315" s="3">
        <v>45131.0</v>
      </c>
      <c r="E315" s="2" t="s">
        <v>29</v>
      </c>
      <c r="F315" s="2">
        <v>3.4</v>
      </c>
      <c r="G315" s="2">
        <v>78.0</v>
      </c>
      <c r="H315" s="2">
        <v>0.0</v>
      </c>
      <c r="I315" s="2">
        <v>31.0</v>
      </c>
      <c r="J315" s="2" t="s">
        <v>32</v>
      </c>
      <c r="K315" s="2" t="s">
        <v>16</v>
      </c>
      <c r="L315" s="2">
        <v>1.0</v>
      </c>
    </row>
    <row r="316">
      <c r="A316" s="2" t="s">
        <v>652</v>
      </c>
      <c r="B316" s="2" t="s">
        <v>653</v>
      </c>
      <c r="C316" s="3">
        <v>44933.0</v>
      </c>
      <c r="D316" s="3">
        <v>44945.0</v>
      </c>
      <c r="E316" s="2" t="s">
        <v>22</v>
      </c>
      <c r="F316" s="2">
        <v>2.4</v>
      </c>
      <c r="G316" s="2">
        <v>72.0</v>
      </c>
      <c r="H316" s="2">
        <v>0.0</v>
      </c>
      <c r="I316" s="2">
        <v>56.0</v>
      </c>
      <c r="J316" s="2" t="s">
        <v>15</v>
      </c>
      <c r="K316" s="2" t="s">
        <v>16</v>
      </c>
      <c r="L316" s="2">
        <v>1.0</v>
      </c>
    </row>
    <row r="317">
      <c r="A317" s="2" t="s">
        <v>654</v>
      </c>
      <c r="B317" s="2" t="s">
        <v>655</v>
      </c>
      <c r="C317" s="3">
        <v>44960.0</v>
      </c>
      <c r="D317" s="3">
        <v>44972.0</v>
      </c>
      <c r="E317" s="2" t="s">
        <v>14</v>
      </c>
      <c r="F317" s="2">
        <v>4.6</v>
      </c>
      <c r="G317" s="2">
        <v>98.0</v>
      </c>
      <c r="H317" s="2">
        <v>1.0</v>
      </c>
      <c r="I317" s="2">
        <v>20.0</v>
      </c>
      <c r="J317" s="2" t="s">
        <v>15</v>
      </c>
      <c r="K317" s="2" t="s">
        <v>26</v>
      </c>
      <c r="L317" s="2">
        <v>1.0</v>
      </c>
    </row>
    <row r="318">
      <c r="A318" s="2" t="s">
        <v>656</v>
      </c>
      <c r="B318" s="2" t="s">
        <v>657</v>
      </c>
      <c r="C318" s="3">
        <v>45212.0</v>
      </c>
      <c r="D318" s="3">
        <v>45224.0</v>
      </c>
      <c r="E318" s="2" t="s">
        <v>38</v>
      </c>
      <c r="F318" s="2">
        <v>4.8</v>
      </c>
      <c r="G318" s="2">
        <v>34.0</v>
      </c>
      <c r="H318" s="2">
        <v>1.0</v>
      </c>
      <c r="I318" s="2">
        <v>36.0</v>
      </c>
      <c r="J318" s="2" t="s">
        <v>35</v>
      </c>
      <c r="K318" s="2" t="s">
        <v>16</v>
      </c>
      <c r="L318" s="2">
        <v>0.0</v>
      </c>
    </row>
    <row r="319">
      <c r="A319" s="2" t="s">
        <v>658</v>
      </c>
      <c r="B319" s="2" t="s">
        <v>659</v>
      </c>
      <c r="C319" s="3">
        <v>45268.0</v>
      </c>
      <c r="D319" s="3">
        <v>45280.0</v>
      </c>
      <c r="E319" s="2" t="s">
        <v>22</v>
      </c>
      <c r="F319" s="2">
        <v>1.7</v>
      </c>
      <c r="G319" s="2">
        <v>85.0</v>
      </c>
      <c r="H319" s="2">
        <v>1.0</v>
      </c>
      <c r="I319" s="2">
        <v>46.0</v>
      </c>
      <c r="J319" s="2" t="s">
        <v>32</v>
      </c>
      <c r="K319" s="2" t="s">
        <v>47</v>
      </c>
      <c r="L319" s="2">
        <v>1.0</v>
      </c>
    </row>
    <row r="320">
      <c r="A320" s="2" t="s">
        <v>660</v>
      </c>
      <c r="B320" s="2" t="s">
        <v>661</v>
      </c>
      <c r="C320" s="3">
        <v>44941.0</v>
      </c>
      <c r="D320" s="3">
        <v>44953.0</v>
      </c>
      <c r="E320" s="2" t="s">
        <v>29</v>
      </c>
      <c r="F320" s="2">
        <v>4.2</v>
      </c>
      <c r="G320" s="2">
        <v>79.0</v>
      </c>
      <c r="H320" s="2">
        <v>1.0</v>
      </c>
      <c r="I320" s="2">
        <v>25.0</v>
      </c>
      <c r="J320" s="2" t="s">
        <v>23</v>
      </c>
      <c r="K320" s="2" t="s">
        <v>16</v>
      </c>
      <c r="L320" s="2">
        <v>1.0</v>
      </c>
    </row>
    <row r="321">
      <c r="A321" s="2" t="s">
        <v>662</v>
      </c>
      <c r="B321" s="2" t="s">
        <v>663</v>
      </c>
      <c r="C321" s="3">
        <v>45235.0</v>
      </c>
      <c r="D321" s="3">
        <v>45247.0</v>
      </c>
      <c r="E321" s="2" t="s">
        <v>14</v>
      </c>
      <c r="F321" s="2">
        <v>1.3</v>
      </c>
      <c r="G321" s="2">
        <v>6.0</v>
      </c>
      <c r="H321" s="2">
        <v>0.0</v>
      </c>
      <c r="I321" s="2">
        <v>48.0</v>
      </c>
      <c r="J321" s="2" t="s">
        <v>19</v>
      </c>
      <c r="K321" s="2" t="s">
        <v>16</v>
      </c>
      <c r="L321" s="2">
        <v>0.0</v>
      </c>
    </row>
    <row r="322">
      <c r="A322" s="2" t="s">
        <v>664</v>
      </c>
      <c r="B322" s="2" t="s">
        <v>665</v>
      </c>
      <c r="C322" s="3">
        <v>45013.0</v>
      </c>
      <c r="D322" s="3">
        <v>45025.0</v>
      </c>
      <c r="E322" s="2" t="s">
        <v>22</v>
      </c>
      <c r="F322" s="2">
        <v>3.9</v>
      </c>
      <c r="G322" s="2">
        <v>76.0</v>
      </c>
      <c r="H322" s="2">
        <v>1.0</v>
      </c>
      <c r="I322" s="2">
        <v>13.0</v>
      </c>
      <c r="J322" s="2" t="s">
        <v>32</v>
      </c>
      <c r="K322" s="2" t="s">
        <v>16</v>
      </c>
      <c r="L322" s="2">
        <v>1.0</v>
      </c>
    </row>
    <row r="323">
      <c r="A323" s="2" t="s">
        <v>666</v>
      </c>
      <c r="B323" s="2" t="s">
        <v>667</v>
      </c>
      <c r="C323" s="3">
        <v>45018.0</v>
      </c>
      <c r="D323" s="3">
        <v>45030.0</v>
      </c>
      <c r="E323" s="2" t="s">
        <v>22</v>
      </c>
      <c r="F323" s="2">
        <v>3.3</v>
      </c>
      <c r="G323" s="2">
        <v>97.0</v>
      </c>
      <c r="H323" s="2">
        <v>0.0</v>
      </c>
      <c r="I323" s="2">
        <v>29.0</v>
      </c>
      <c r="J323" s="2" t="s">
        <v>32</v>
      </c>
      <c r="K323" s="2" t="s">
        <v>16</v>
      </c>
      <c r="L323" s="2">
        <v>1.0</v>
      </c>
    </row>
    <row r="324">
      <c r="A324" s="2" t="s">
        <v>668</v>
      </c>
      <c r="B324" s="2" t="s">
        <v>669</v>
      </c>
      <c r="C324" s="3">
        <v>45122.0</v>
      </c>
      <c r="D324" s="3">
        <v>45134.0</v>
      </c>
      <c r="E324" s="2" t="s">
        <v>38</v>
      </c>
      <c r="F324" s="2">
        <v>1.8</v>
      </c>
      <c r="G324" s="2">
        <v>47.0</v>
      </c>
      <c r="H324" s="2">
        <v>1.0</v>
      </c>
      <c r="I324" s="2">
        <v>31.0</v>
      </c>
      <c r="J324" s="2" t="s">
        <v>32</v>
      </c>
      <c r="K324" s="2" t="s">
        <v>47</v>
      </c>
      <c r="L324" s="2">
        <v>1.0</v>
      </c>
    </row>
    <row r="325">
      <c r="A325" s="2" t="s">
        <v>670</v>
      </c>
      <c r="B325" s="2" t="s">
        <v>671</v>
      </c>
      <c r="C325" s="3">
        <v>45277.0</v>
      </c>
      <c r="D325" s="3">
        <v>45289.0</v>
      </c>
      <c r="E325" s="2" t="s">
        <v>38</v>
      </c>
      <c r="F325" s="2">
        <v>0.4</v>
      </c>
      <c r="G325" s="2">
        <v>84.0</v>
      </c>
      <c r="H325" s="2">
        <v>0.0</v>
      </c>
      <c r="I325" s="2">
        <v>44.0</v>
      </c>
      <c r="J325" s="2" t="s">
        <v>32</v>
      </c>
      <c r="K325" s="2" t="s">
        <v>47</v>
      </c>
      <c r="L325" s="2">
        <v>1.0</v>
      </c>
    </row>
    <row r="326">
      <c r="A326" s="2" t="s">
        <v>672</v>
      </c>
      <c r="B326" s="2" t="s">
        <v>673</v>
      </c>
      <c r="C326" s="3">
        <v>45030.0</v>
      </c>
      <c r="D326" s="3">
        <v>45042.0</v>
      </c>
      <c r="E326" s="2" t="s">
        <v>29</v>
      </c>
      <c r="F326" s="2">
        <v>2.3</v>
      </c>
      <c r="G326" s="2">
        <v>87.0</v>
      </c>
      <c r="H326" s="2">
        <v>1.0</v>
      </c>
      <c r="I326" s="2">
        <v>28.0</v>
      </c>
      <c r="J326" s="2" t="s">
        <v>15</v>
      </c>
      <c r="K326" s="2" t="s">
        <v>16</v>
      </c>
      <c r="L326" s="2">
        <v>1.0</v>
      </c>
    </row>
    <row r="327">
      <c r="A327" s="2" t="s">
        <v>674</v>
      </c>
      <c r="B327" s="2" t="s">
        <v>675</v>
      </c>
      <c r="C327" s="3">
        <v>45270.0</v>
      </c>
      <c r="D327" s="3">
        <v>45282.0</v>
      </c>
      <c r="E327" s="2" t="s">
        <v>29</v>
      </c>
      <c r="F327" s="2">
        <v>2.1</v>
      </c>
      <c r="G327" s="2">
        <v>88.0</v>
      </c>
      <c r="H327" s="2">
        <v>0.0</v>
      </c>
      <c r="I327" s="2">
        <v>53.0</v>
      </c>
      <c r="J327" s="2" t="s">
        <v>19</v>
      </c>
      <c r="K327" s="2" t="s">
        <v>26</v>
      </c>
      <c r="L327" s="2">
        <v>1.0</v>
      </c>
    </row>
    <row r="328">
      <c r="A328" s="2" t="s">
        <v>676</v>
      </c>
      <c r="B328" s="2" t="s">
        <v>677</v>
      </c>
      <c r="C328" s="3">
        <v>44951.0</v>
      </c>
      <c r="D328" s="3">
        <v>44963.0</v>
      </c>
      <c r="E328" s="2" t="s">
        <v>29</v>
      </c>
      <c r="F328" s="2">
        <v>4.7</v>
      </c>
      <c r="G328" s="2">
        <v>55.0</v>
      </c>
      <c r="H328" s="2">
        <v>0.0</v>
      </c>
      <c r="I328" s="2">
        <v>40.0</v>
      </c>
      <c r="J328" s="2" t="s">
        <v>19</v>
      </c>
      <c r="K328" s="2" t="s">
        <v>47</v>
      </c>
      <c r="L328" s="2">
        <v>1.0</v>
      </c>
    </row>
    <row r="329">
      <c r="A329" s="2" t="s">
        <v>678</v>
      </c>
      <c r="B329" s="2" t="s">
        <v>679</v>
      </c>
      <c r="C329" s="3">
        <v>45162.0</v>
      </c>
      <c r="D329" s="3">
        <v>45174.0</v>
      </c>
      <c r="E329" s="2" t="s">
        <v>38</v>
      </c>
      <c r="F329" s="2">
        <v>4.5</v>
      </c>
      <c r="G329" s="2">
        <v>95.0</v>
      </c>
      <c r="H329" s="2">
        <v>0.0</v>
      </c>
      <c r="I329" s="2">
        <v>37.0</v>
      </c>
      <c r="J329" s="2" t="s">
        <v>23</v>
      </c>
      <c r="K329" s="2" t="s">
        <v>47</v>
      </c>
      <c r="L329" s="2">
        <v>0.0</v>
      </c>
    </row>
    <row r="330">
      <c r="A330" s="2" t="s">
        <v>680</v>
      </c>
      <c r="B330" s="2" t="s">
        <v>681</v>
      </c>
      <c r="C330" s="3">
        <v>44959.0</v>
      </c>
      <c r="D330" s="3">
        <v>44971.0</v>
      </c>
      <c r="E330" s="2" t="s">
        <v>14</v>
      </c>
      <c r="F330" s="2">
        <v>0.8</v>
      </c>
      <c r="G330" s="2">
        <v>19.0</v>
      </c>
      <c r="H330" s="2">
        <v>1.0</v>
      </c>
      <c r="I330" s="2">
        <v>47.0</v>
      </c>
      <c r="J330" s="2" t="s">
        <v>23</v>
      </c>
      <c r="K330" s="2" t="s">
        <v>47</v>
      </c>
      <c r="L330" s="2">
        <v>1.0</v>
      </c>
    </row>
    <row r="331">
      <c r="A331" s="2" t="s">
        <v>682</v>
      </c>
      <c r="B331" s="2" t="s">
        <v>683</v>
      </c>
      <c r="C331" s="3">
        <v>45169.0</v>
      </c>
      <c r="D331" s="3">
        <v>45181.0</v>
      </c>
      <c r="E331" s="2" t="s">
        <v>14</v>
      </c>
      <c r="F331" s="2">
        <v>2.9</v>
      </c>
      <c r="G331" s="2">
        <v>15.0</v>
      </c>
      <c r="H331" s="2">
        <v>0.0</v>
      </c>
      <c r="I331" s="2">
        <v>16.0</v>
      </c>
      <c r="J331" s="2" t="s">
        <v>15</v>
      </c>
      <c r="K331" s="2" t="s">
        <v>47</v>
      </c>
      <c r="L331" s="2">
        <v>1.0</v>
      </c>
    </row>
    <row r="332">
      <c r="A332" s="2" t="s">
        <v>684</v>
      </c>
      <c r="B332" s="2" t="s">
        <v>685</v>
      </c>
      <c r="C332" s="3">
        <v>45208.0</v>
      </c>
      <c r="D332" s="3">
        <v>45220.0</v>
      </c>
      <c r="E332" s="2" t="s">
        <v>38</v>
      </c>
      <c r="F332" s="2">
        <v>2.0</v>
      </c>
      <c r="G332" s="2">
        <v>86.0</v>
      </c>
      <c r="H332" s="2">
        <v>0.0</v>
      </c>
      <c r="I332" s="2">
        <v>49.0</v>
      </c>
      <c r="J332" s="2" t="s">
        <v>19</v>
      </c>
      <c r="K332" s="2" t="s">
        <v>26</v>
      </c>
      <c r="L332" s="2">
        <v>1.0</v>
      </c>
    </row>
    <row r="333">
      <c r="A333" s="2" t="s">
        <v>686</v>
      </c>
      <c r="B333" s="2" t="s">
        <v>687</v>
      </c>
      <c r="C333" s="3">
        <v>45256.0</v>
      </c>
      <c r="D333" s="3">
        <v>45268.0</v>
      </c>
      <c r="E333" s="2" t="s">
        <v>22</v>
      </c>
      <c r="F333" s="2">
        <v>1.4</v>
      </c>
      <c r="G333" s="2">
        <v>99.0</v>
      </c>
      <c r="H333" s="2">
        <v>0.0</v>
      </c>
      <c r="I333" s="2">
        <v>41.0</v>
      </c>
      <c r="J333" s="2" t="s">
        <v>32</v>
      </c>
      <c r="K333" s="2" t="s">
        <v>16</v>
      </c>
      <c r="L333" s="2">
        <v>1.0</v>
      </c>
    </row>
    <row r="334">
      <c r="A334" s="2" t="s">
        <v>688</v>
      </c>
      <c r="B334" s="2" t="s">
        <v>689</v>
      </c>
      <c r="C334" s="3">
        <v>45284.0</v>
      </c>
      <c r="D334" s="3">
        <v>45296.0</v>
      </c>
      <c r="E334" s="2" t="s">
        <v>22</v>
      </c>
      <c r="F334" s="2">
        <v>2.6</v>
      </c>
      <c r="G334" s="2">
        <v>70.0</v>
      </c>
      <c r="H334" s="2">
        <v>1.0</v>
      </c>
      <c r="I334" s="2">
        <v>50.0</v>
      </c>
      <c r="J334" s="2" t="s">
        <v>35</v>
      </c>
      <c r="K334" s="2" t="s">
        <v>16</v>
      </c>
      <c r="L334" s="2">
        <v>1.0</v>
      </c>
    </row>
    <row r="335">
      <c r="A335" s="2" t="s">
        <v>690</v>
      </c>
      <c r="B335" s="2" t="s">
        <v>691</v>
      </c>
      <c r="C335" s="3">
        <v>45291.0</v>
      </c>
      <c r="D335" s="3">
        <v>45303.0</v>
      </c>
      <c r="E335" s="2" t="s">
        <v>29</v>
      </c>
      <c r="F335" s="2">
        <v>0.7</v>
      </c>
      <c r="G335" s="2">
        <v>9.0</v>
      </c>
      <c r="H335" s="2">
        <v>1.0</v>
      </c>
      <c r="I335" s="2">
        <v>17.0</v>
      </c>
      <c r="J335" s="2" t="s">
        <v>35</v>
      </c>
      <c r="K335" s="2" t="s">
        <v>47</v>
      </c>
      <c r="L335" s="2">
        <v>1.0</v>
      </c>
    </row>
    <row r="336">
      <c r="A336" s="2" t="s">
        <v>692</v>
      </c>
      <c r="B336" s="2" t="s">
        <v>693</v>
      </c>
      <c r="C336" s="3">
        <v>45072.0</v>
      </c>
      <c r="D336" s="3">
        <v>45084.0</v>
      </c>
      <c r="E336" s="2" t="s">
        <v>22</v>
      </c>
      <c r="F336" s="2">
        <v>3.8</v>
      </c>
      <c r="G336" s="2">
        <v>41.0</v>
      </c>
      <c r="H336" s="2">
        <v>1.0</v>
      </c>
      <c r="I336" s="2">
        <v>38.0</v>
      </c>
      <c r="J336" s="2" t="s">
        <v>19</v>
      </c>
      <c r="K336" s="2" t="s">
        <v>16</v>
      </c>
      <c r="L336" s="2">
        <v>1.0</v>
      </c>
    </row>
    <row r="337">
      <c r="A337" s="2" t="s">
        <v>694</v>
      </c>
      <c r="B337" s="2" t="s">
        <v>695</v>
      </c>
      <c r="C337" s="3">
        <v>45078.0</v>
      </c>
      <c r="D337" s="3">
        <v>45090.0</v>
      </c>
      <c r="E337" s="2" t="s">
        <v>29</v>
      </c>
      <c r="F337" s="2">
        <v>2.2</v>
      </c>
      <c r="G337" s="2">
        <v>5.0</v>
      </c>
      <c r="H337" s="2">
        <v>0.0</v>
      </c>
      <c r="I337" s="2">
        <v>24.0</v>
      </c>
      <c r="J337" s="2" t="s">
        <v>15</v>
      </c>
      <c r="K337" s="2" t="s">
        <v>16</v>
      </c>
      <c r="L337" s="2">
        <v>0.0</v>
      </c>
    </row>
    <row r="338">
      <c r="A338" s="2" t="s">
        <v>696</v>
      </c>
      <c r="B338" s="2" t="s">
        <v>697</v>
      </c>
      <c r="C338" s="3">
        <v>45218.0</v>
      </c>
      <c r="D338" s="3">
        <v>45230.0</v>
      </c>
      <c r="E338" s="2" t="s">
        <v>22</v>
      </c>
      <c r="F338" s="2">
        <v>2.7</v>
      </c>
      <c r="G338" s="2">
        <v>11.0</v>
      </c>
      <c r="H338" s="2">
        <v>0.0</v>
      </c>
      <c r="I338" s="2">
        <v>35.0</v>
      </c>
      <c r="J338" s="2" t="s">
        <v>32</v>
      </c>
      <c r="K338" s="2" t="s">
        <v>47</v>
      </c>
      <c r="L338" s="2">
        <v>1.0</v>
      </c>
    </row>
    <row r="339">
      <c r="A339" s="2" t="s">
        <v>698</v>
      </c>
      <c r="B339" s="2" t="s">
        <v>699</v>
      </c>
      <c r="C339" s="3">
        <v>45218.0</v>
      </c>
      <c r="D339" s="3">
        <v>45230.0</v>
      </c>
      <c r="E339" s="2" t="s">
        <v>29</v>
      </c>
      <c r="F339" s="2">
        <v>0.9</v>
      </c>
      <c r="G339" s="2">
        <v>96.0</v>
      </c>
      <c r="H339" s="2">
        <v>0.0</v>
      </c>
      <c r="I339" s="2">
        <v>51.0</v>
      </c>
      <c r="J339" s="2" t="s">
        <v>32</v>
      </c>
      <c r="K339" s="2" t="s">
        <v>26</v>
      </c>
      <c r="L339" s="2">
        <v>1.0</v>
      </c>
    </row>
    <row r="340">
      <c r="A340" s="2" t="s">
        <v>700</v>
      </c>
      <c r="B340" s="2" t="s">
        <v>701</v>
      </c>
      <c r="C340" s="3">
        <v>45089.0</v>
      </c>
      <c r="D340" s="3">
        <v>45101.0</v>
      </c>
      <c r="E340" s="2" t="s">
        <v>29</v>
      </c>
      <c r="F340" s="2">
        <v>0.0</v>
      </c>
      <c r="G340" s="2">
        <v>59.0</v>
      </c>
      <c r="H340" s="2">
        <v>0.0</v>
      </c>
      <c r="I340" s="2">
        <v>22.0</v>
      </c>
      <c r="J340" s="2" t="s">
        <v>32</v>
      </c>
      <c r="K340" s="2" t="s">
        <v>47</v>
      </c>
      <c r="L340" s="2">
        <v>1.0</v>
      </c>
    </row>
    <row r="341">
      <c r="A341" s="2" t="s">
        <v>702</v>
      </c>
      <c r="B341" s="2" t="s">
        <v>703</v>
      </c>
      <c r="C341" s="3">
        <v>45011.0</v>
      </c>
      <c r="D341" s="3">
        <v>45023.0</v>
      </c>
      <c r="E341" s="2" t="s">
        <v>29</v>
      </c>
      <c r="F341" s="2">
        <v>0.3</v>
      </c>
      <c r="G341" s="2">
        <v>27.0</v>
      </c>
      <c r="H341" s="2">
        <v>1.0</v>
      </c>
      <c r="I341" s="2">
        <v>32.0</v>
      </c>
      <c r="J341" s="2" t="s">
        <v>23</v>
      </c>
      <c r="K341" s="2" t="s">
        <v>47</v>
      </c>
      <c r="L341" s="2">
        <v>1.0</v>
      </c>
    </row>
    <row r="342">
      <c r="A342" s="2" t="s">
        <v>704</v>
      </c>
      <c r="B342" s="2" t="s">
        <v>705</v>
      </c>
      <c r="C342" s="3">
        <v>45203.0</v>
      </c>
      <c r="D342" s="3">
        <v>45215.0</v>
      </c>
      <c r="E342" s="2" t="s">
        <v>29</v>
      </c>
      <c r="F342" s="2">
        <v>5.0</v>
      </c>
      <c r="G342" s="2">
        <v>20.0</v>
      </c>
      <c r="H342" s="2">
        <v>0.0</v>
      </c>
      <c r="I342" s="2">
        <v>19.0</v>
      </c>
      <c r="J342" s="2" t="s">
        <v>23</v>
      </c>
      <c r="K342" s="2" t="s">
        <v>16</v>
      </c>
      <c r="L342" s="2">
        <v>1.0</v>
      </c>
    </row>
    <row r="343">
      <c r="A343" s="2" t="s">
        <v>706</v>
      </c>
      <c r="B343" s="2" t="s">
        <v>707</v>
      </c>
      <c r="C343" s="3">
        <v>45189.0</v>
      </c>
      <c r="D343" s="3">
        <v>45201.0</v>
      </c>
      <c r="E343" s="2" t="s">
        <v>14</v>
      </c>
      <c r="F343" s="2">
        <v>4.0</v>
      </c>
      <c r="G343" s="2">
        <v>30.0</v>
      </c>
      <c r="H343" s="2">
        <v>1.0</v>
      </c>
      <c r="I343" s="2">
        <v>56.0</v>
      </c>
      <c r="J343" s="2" t="s">
        <v>19</v>
      </c>
      <c r="K343" s="2" t="s">
        <v>16</v>
      </c>
      <c r="L343" s="2">
        <v>0.0</v>
      </c>
    </row>
    <row r="344">
      <c r="A344" s="2" t="s">
        <v>708</v>
      </c>
      <c r="B344" s="2" t="s">
        <v>709</v>
      </c>
      <c r="C344" s="3">
        <v>45183.0</v>
      </c>
      <c r="D344" s="3">
        <v>45195.0</v>
      </c>
      <c r="E344" s="2" t="s">
        <v>29</v>
      </c>
      <c r="F344" s="2">
        <v>2.5</v>
      </c>
      <c r="G344" s="2">
        <v>13.0</v>
      </c>
      <c r="H344" s="2">
        <v>0.0</v>
      </c>
      <c r="I344" s="2">
        <v>18.0</v>
      </c>
      <c r="J344" s="2" t="s">
        <v>35</v>
      </c>
      <c r="K344" s="2" t="s">
        <v>26</v>
      </c>
      <c r="L344" s="2">
        <v>0.0</v>
      </c>
    </row>
    <row r="345">
      <c r="A345" s="2" t="s">
        <v>710</v>
      </c>
      <c r="B345" s="2" t="s">
        <v>711</v>
      </c>
      <c r="C345" s="3">
        <v>45244.0</v>
      </c>
      <c r="D345" s="3">
        <v>45256.0</v>
      </c>
      <c r="E345" s="2" t="s">
        <v>29</v>
      </c>
      <c r="F345" s="2">
        <v>4.1</v>
      </c>
      <c r="G345" s="2">
        <v>54.0</v>
      </c>
      <c r="H345" s="2">
        <v>0.0</v>
      </c>
      <c r="I345" s="2">
        <v>52.0</v>
      </c>
      <c r="J345" s="2" t="s">
        <v>32</v>
      </c>
      <c r="K345" s="2" t="s">
        <v>26</v>
      </c>
      <c r="L345" s="2">
        <v>1.0</v>
      </c>
    </row>
    <row r="346">
      <c r="A346" s="2" t="s">
        <v>712</v>
      </c>
      <c r="B346" s="2" t="s">
        <v>713</v>
      </c>
      <c r="C346" s="3">
        <v>45163.0</v>
      </c>
      <c r="D346" s="3">
        <v>45175.0</v>
      </c>
      <c r="E346" s="2" t="s">
        <v>38</v>
      </c>
      <c r="F346" s="2">
        <v>1.1</v>
      </c>
      <c r="G346" s="2">
        <v>58.0</v>
      </c>
      <c r="H346" s="2">
        <v>1.0</v>
      </c>
      <c r="I346" s="2">
        <v>43.0</v>
      </c>
      <c r="J346" s="2" t="s">
        <v>23</v>
      </c>
      <c r="K346" s="2" t="s">
        <v>26</v>
      </c>
      <c r="L346" s="2">
        <v>1.0</v>
      </c>
    </row>
    <row r="347">
      <c r="A347" s="2" t="s">
        <v>714</v>
      </c>
      <c r="B347" s="2" t="s">
        <v>715</v>
      </c>
      <c r="C347" s="3">
        <v>45016.0</v>
      </c>
      <c r="D347" s="3">
        <v>45028.0</v>
      </c>
      <c r="E347" s="2" t="s">
        <v>29</v>
      </c>
      <c r="F347" s="2">
        <v>3.7</v>
      </c>
      <c r="G347" s="2">
        <v>63.0</v>
      </c>
      <c r="H347" s="2">
        <v>1.0</v>
      </c>
      <c r="I347" s="2">
        <v>26.0</v>
      </c>
      <c r="J347" s="2" t="s">
        <v>19</v>
      </c>
      <c r="K347" s="2" t="s">
        <v>26</v>
      </c>
      <c r="L347" s="2">
        <v>0.0</v>
      </c>
    </row>
    <row r="348">
      <c r="A348" s="2" t="s">
        <v>716</v>
      </c>
      <c r="B348" s="2" t="s">
        <v>717</v>
      </c>
      <c r="C348" s="3">
        <v>45285.0</v>
      </c>
      <c r="D348" s="3">
        <v>45297.0</v>
      </c>
      <c r="E348" s="2" t="s">
        <v>38</v>
      </c>
      <c r="F348" s="2">
        <v>3.0</v>
      </c>
      <c r="G348" s="2">
        <v>60.0</v>
      </c>
      <c r="H348" s="2">
        <v>1.0</v>
      </c>
      <c r="I348" s="2">
        <v>15.0</v>
      </c>
      <c r="J348" s="2" t="s">
        <v>23</v>
      </c>
      <c r="K348" s="2" t="s">
        <v>47</v>
      </c>
      <c r="L348" s="2">
        <v>1.0</v>
      </c>
    </row>
    <row r="349">
      <c r="A349" s="2" t="s">
        <v>718</v>
      </c>
      <c r="B349" s="2" t="s">
        <v>719</v>
      </c>
      <c r="C349" s="3">
        <v>44998.0</v>
      </c>
      <c r="D349" s="3">
        <v>45010.0</v>
      </c>
      <c r="E349" s="2" t="s">
        <v>14</v>
      </c>
      <c r="F349" s="2">
        <v>0.2</v>
      </c>
      <c r="G349" s="2">
        <v>52.0</v>
      </c>
      <c r="H349" s="2">
        <v>0.0</v>
      </c>
      <c r="I349" s="2">
        <v>27.0</v>
      </c>
      <c r="J349" s="2" t="s">
        <v>32</v>
      </c>
      <c r="K349" s="2" t="s">
        <v>26</v>
      </c>
      <c r="L349" s="2">
        <v>1.0</v>
      </c>
    </row>
    <row r="350">
      <c r="A350" s="2" t="s">
        <v>720</v>
      </c>
      <c r="B350" s="2" t="s">
        <v>721</v>
      </c>
      <c r="C350" s="3">
        <v>45189.0</v>
      </c>
      <c r="D350" s="3">
        <v>45201.0</v>
      </c>
      <c r="E350" s="2" t="s">
        <v>22</v>
      </c>
      <c r="F350" s="2">
        <v>4.3</v>
      </c>
      <c r="G350" s="2">
        <v>90.0</v>
      </c>
      <c r="H350" s="2">
        <v>0.0</v>
      </c>
      <c r="I350" s="2">
        <v>21.0</v>
      </c>
      <c r="J350" s="2" t="s">
        <v>19</v>
      </c>
      <c r="K350" s="2" t="s">
        <v>26</v>
      </c>
      <c r="L350" s="2">
        <v>1.0</v>
      </c>
    </row>
    <row r="351">
      <c r="A351" s="2" t="s">
        <v>722</v>
      </c>
      <c r="B351" s="2" t="s">
        <v>723</v>
      </c>
      <c r="C351" s="3">
        <v>45148.0</v>
      </c>
      <c r="D351" s="3">
        <v>45160.0</v>
      </c>
      <c r="E351" s="2" t="s">
        <v>14</v>
      </c>
      <c r="F351" s="2">
        <v>2.8</v>
      </c>
      <c r="G351" s="2">
        <v>93.0</v>
      </c>
      <c r="H351" s="2">
        <v>0.0</v>
      </c>
      <c r="I351" s="2">
        <v>14.0</v>
      </c>
      <c r="J351" s="2" t="s">
        <v>15</v>
      </c>
      <c r="K351" s="2" t="s">
        <v>26</v>
      </c>
      <c r="L351" s="2">
        <v>1.0</v>
      </c>
    </row>
    <row r="352">
      <c r="A352" s="2" t="s">
        <v>724</v>
      </c>
      <c r="B352" s="2" t="s">
        <v>725</v>
      </c>
      <c r="C352" s="3">
        <v>45084.0</v>
      </c>
      <c r="D352" s="3">
        <v>45096.0</v>
      </c>
      <c r="E352" s="2" t="s">
        <v>14</v>
      </c>
      <c r="F352" s="2">
        <v>3.1</v>
      </c>
      <c r="G352" s="2">
        <v>80.0</v>
      </c>
      <c r="H352" s="2">
        <v>1.0</v>
      </c>
      <c r="I352" s="2">
        <v>30.0</v>
      </c>
      <c r="J352" s="2" t="s">
        <v>32</v>
      </c>
      <c r="K352" s="2" t="s">
        <v>26</v>
      </c>
      <c r="L352" s="2">
        <v>1.0</v>
      </c>
    </row>
    <row r="353">
      <c r="A353" s="2" t="s">
        <v>726</v>
      </c>
      <c r="B353" s="2" t="s">
        <v>727</v>
      </c>
      <c r="C353" s="3">
        <v>45030.0</v>
      </c>
      <c r="D353" s="3">
        <v>45042.0</v>
      </c>
      <c r="E353" s="2" t="s">
        <v>38</v>
      </c>
      <c r="F353" s="2">
        <v>3.6</v>
      </c>
      <c r="G353" s="2">
        <v>33.0</v>
      </c>
      <c r="H353" s="2">
        <v>0.0</v>
      </c>
      <c r="I353" s="2">
        <v>42.0</v>
      </c>
      <c r="J353" s="2" t="s">
        <v>19</v>
      </c>
      <c r="K353" s="2" t="s">
        <v>26</v>
      </c>
      <c r="L353" s="2">
        <v>1.0</v>
      </c>
    </row>
    <row r="354">
      <c r="A354" s="2" t="s">
        <v>728</v>
      </c>
      <c r="B354" s="2" t="s">
        <v>729</v>
      </c>
      <c r="C354" s="3">
        <v>44946.0</v>
      </c>
      <c r="D354" s="3">
        <v>44958.0</v>
      </c>
      <c r="E354" s="2" t="s">
        <v>22</v>
      </c>
      <c r="F354" s="2">
        <v>3.5</v>
      </c>
      <c r="G354" s="2">
        <v>49.0</v>
      </c>
      <c r="H354" s="2">
        <v>1.0</v>
      </c>
      <c r="I354" s="2">
        <v>34.0</v>
      </c>
      <c r="J354" s="2" t="s">
        <v>19</v>
      </c>
      <c r="K354" s="2" t="s">
        <v>16</v>
      </c>
      <c r="L354" s="2">
        <v>1.0</v>
      </c>
    </row>
    <row r="355">
      <c r="A355" s="2" t="s">
        <v>730</v>
      </c>
      <c r="B355" s="2" t="s">
        <v>731</v>
      </c>
      <c r="C355" s="3">
        <v>44974.0</v>
      </c>
      <c r="D355" s="3">
        <v>44986.0</v>
      </c>
      <c r="E355" s="2" t="s">
        <v>38</v>
      </c>
      <c r="F355" s="2">
        <v>1.5</v>
      </c>
      <c r="G355" s="2">
        <v>64.0</v>
      </c>
      <c r="H355" s="2">
        <v>1.0</v>
      </c>
      <c r="I355" s="2">
        <v>39.0</v>
      </c>
      <c r="J355" s="2" t="s">
        <v>32</v>
      </c>
      <c r="K355" s="2" t="s">
        <v>47</v>
      </c>
      <c r="L355" s="2">
        <v>0.0</v>
      </c>
    </row>
    <row r="356">
      <c r="A356" s="2" t="s">
        <v>732</v>
      </c>
      <c r="B356" s="2" t="s">
        <v>733</v>
      </c>
      <c r="C356" s="3">
        <v>44994.0</v>
      </c>
      <c r="D356" s="3">
        <v>45006.0</v>
      </c>
      <c r="E356" s="2" t="s">
        <v>14</v>
      </c>
      <c r="F356" s="2">
        <v>0.5</v>
      </c>
      <c r="G356" s="2">
        <v>16.0</v>
      </c>
      <c r="H356" s="2">
        <v>1.0</v>
      </c>
      <c r="I356" s="2">
        <v>23.0</v>
      </c>
      <c r="J356" s="2" t="s">
        <v>35</v>
      </c>
      <c r="K356" s="2" t="s">
        <v>26</v>
      </c>
      <c r="L356" s="2">
        <v>0.0</v>
      </c>
    </row>
    <row r="357">
      <c r="A357" s="2" t="s">
        <v>734</v>
      </c>
      <c r="B357" s="2" t="s">
        <v>735</v>
      </c>
      <c r="C357" s="3">
        <v>45062.0</v>
      </c>
      <c r="D357" s="3">
        <v>45074.0</v>
      </c>
      <c r="E357" s="2" t="s">
        <v>38</v>
      </c>
      <c r="F357" s="2">
        <v>1.9</v>
      </c>
      <c r="G357" s="2">
        <v>18.0</v>
      </c>
      <c r="H357" s="2">
        <v>0.0</v>
      </c>
      <c r="I357" s="2">
        <v>54.0</v>
      </c>
      <c r="J357" s="2" t="s">
        <v>32</v>
      </c>
      <c r="K357" s="2" t="s">
        <v>16</v>
      </c>
      <c r="L357" s="2">
        <v>0.0</v>
      </c>
    </row>
    <row r="358">
      <c r="A358" s="2" t="s">
        <v>736</v>
      </c>
      <c r="B358" s="2" t="s">
        <v>737</v>
      </c>
      <c r="C358" s="3">
        <v>44983.0</v>
      </c>
      <c r="D358" s="3">
        <v>44995.0</v>
      </c>
      <c r="E358" s="2" t="s">
        <v>14</v>
      </c>
      <c r="F358" s="2">
        <v>4.4</v>
      </c>
      <c r="G358" s="2">
        <v>69.0</v>
      </c>
      <c r="H358" s="2">
        <v>1.0</v>
      </c>
      <c r="I358" s="2">
        <v>12.0</v>
      </c>
      <c r="J358" s="2" t="s">
        <v>35</v>
      </c>
      <c r="K358" s="2" t="s">
        <v>16</v>
      </c>
      <c r="L358" s="2">
        <v>1.0</v>
      </c>
    </row>
    <row r="359">
      <c r="A359" s="2" t="s">
        <v>738</v>
      </c>
      <c r="B359" s="2" t="s">
        <v>739</v>
      </c>
      <c r="C359" s="3">
        <v>45020.0</v>
      </c>
      <c r="D359" s="3">
        <v>45032.0</v>
      </c>
      <c r="E359" s="2" t="s">
        <v>29</v>
      </c>
      <c r="F359" s="2">
        <v>3.4</v>
      </c>
      <c r="G359" s="2">
        <v>40.0</v>
      </c>
      <c r="H359" s="2">
        <v>0.0</v>
      </c>
      <c r="I359" s="2">
        <v>45.0</v>
      </c>
      <c r="J359" s="2" t="s">
        <v>35</v>
      </c>
      <c r="K359" s="2" t="s">
        <v>47</v>
      </c>
      <c r="L359" s="2">
        <v>1.0</v>
      </c>
    </row>
    <row r="360">
      <c r="A360" s="2" t="s">
        <v>740</v>
      </c>
      <c r="B360" s="2" t="s">
        <v>741</v>
      </c>
      <c r="C360" s="3">
        <v>45139.0</v>
      </c>
      <c r="D360" s="3">
        <v>45151.0</v>
      </c>
      <c r="E360" s="2" t="s">
        <v>22</v>
      </c>
      <c r="F360" s="2">
        <v>1.1</v>
      </c>
      <c r="G360" s="2">
        <v>38.0</v>
      </c>
      <c r="H360" s="2">
        <v>1.0</v>
      </c>
      <c r="I360" s="2">
        <v>55.0</v>
      </c>
      <c r="J360" s="2" t="s">
        <v>32</v>
      </c>
      <c r="K360" s="2" t="s">
        <v>16</v>
      </c>
      <c r="L360" s="2">
        <v>0.0</v>
      </c>
    </row>
    <row r="361">
      <c r="A361" s="2" t="s">
        <v>742</v>
      </c>
      <c r="B361" s="2" t="s">
        <v>743</v>
      </c>
      <c r="C361" s="3">
        <v>45255.0</v>
      </c>
      <c r="D361" s="3">
        <v>45267.0</v>
      </c>
      <c r="E361" s="2" t="s">
        <v>29</v>
      </c>
      <c r="F361" s="2">
        <v>1.7</v>
      </c>
      <c r="G361" s="2">
        <v>25.0</v>
      </c>
      <c r="H361" s="2">
        <v>1.0</v>
      </c>
      <c r="I361" s="2">
        <v>33.0</v>
      </c>
      <c r="J361" s="2" t="s">
        <v>35</v>
      </c>
      <c r="K361" s="2" t="s">
        <v>16</v>
      </c>
      <c r="L361" s="2">
        <v>1.0</v>
      </c>
    </row>
    <row r="362">
      <c r="A362" s="2" t="s">
        <v>744</v>
      </c>
      <c r="B362" s="2" t="s">
        <v>745</v>
      </c>
      <c r="C362" s="3">
        <v>45073.0</v>
      </c>
      <c r="D362" s="3">
        <v>45085.0</v>
      </c>
      <c r="E362" s="2" t="s">
        <v>38</v>
      </c>
      <c r="F362" s="2">
        <v>1.4</v>
      </c>
      <c r="G362" s="2">
        <v>94.0</v>
      </c>
      <c r="H362" s="2">
        <v>0.0</v>
      </c>
      <c r="I362" s="2">
        <v>14.0</v>
      </c>
      <c r="J362" s="2" t="s">
        <v>32</v>
      </c>
      <c r="K362" s="2" t="s">
        <v>26</v>
      </c>
      <c r="L362" s="2">
        <v>1.0</v>
      </c>
    </row>
    <row r="363">
      <c r="A363" s="2" t="s">
        <v>746</v>
      </c>
      <c r="B363" s="2" t="s">
        <v>747</v>
      </c>
      <c r="C363" s="3">
        <v>45077.0</v>
      </c>
      <c r="D363" s="3">
        <v>45089.0</v>
      </c>
      <c r="E363" s="2" t="s">
        <v>22</v>
      </c>
      <c r="F363" s="2">
        <v>1.0</v>
      </c>
      <c r="G363" s="2">
        <v>89.0</v>
      </c>
      <c r="H363" s="2">
        <v>0.0</v>
      </c>
      <c r="I363" s="2">
        <v>33.0</v>
      </c>
      <c r="J363" s="2" t="s">
        <v>32</v>
      </c>
      <c r="K363" s="2" t="s">
        <v>16</v>
      </c>
      <c r="L363" s="2">
        <v>1.0</v>
      </c>
    </row>
    <row r="364">
      <c r="A364" s="2" t="s">
        <v>748</v>
      </c>
      <c r="B364" s="2" t="s">
        <v>749</v>
      </c>
      <c r="C364" s="3">
        <v>44973.0</v>
      </c>
      <c r="D364" s="3">
        <v>44985.0</v>
      </c>
      <c r="E364" s="2" t="s">
        <v>14</v>
      </c>
      <c r="F364" s="2">
        <v>3.2</v>
      </c>
      <c r="G364" s="2">
        <v>73.0</v>
      </c>
      <c r="H364" s="2">
        <v>0.0</v>
      </c>
      <c r="I364" s="2">
        <v>17.0</v>
      </c>
      <c r="J364" s="2" t="s">
        <v>19</v>
      </c>
      <c r="K364" s="2" t="s">
        <v>26</v>
      </c>
      <c r="L364" s="2">
        <v>1.0</v>
      </c>
    </row>
    <row r="365">
      <c r="A365" s="2" t="s">
        <v>750</v>
      </c>
      <c r="B365" s="2" t="s">
        <v>751</v>
      </c>
      <c r="C365" s="3">
        <v>45222.0</v>
      </c>
      <c r="D365" s="3">
        <v>45234.0</v>
      </c>
      <c r="E365" s="2" t="s">
        <v>29</v>
      </c>
      <c r="F365" s="2">
        <v>4.1</v>
      </c>
      <c r="G365" s="2">
        <v>28.0</v>
      </c>
      <c r="H365" s="2">
        <v>0.0</v>
      </c>
      <c r="I365" s="2">
        <v>49.0</v>
      </c>
      <c r="J365" s="2" t="s">
        <v>19</v>
      </c>
      <c r="K365" s="2" t="s">
        <v>47</v>
      </c>
      <c r="L365" s="2">
        <v>1.0</v>
      </c>
    </row>
    <row r="366">
      <c r="A366" s="2" t="s">
        <v>752</v>
      </c>
      <c r="B366" s="2" t="s">
        <v>753</v>
      </c>
      <c r="C366" s="3">
        <v>44983.0</v>
      </c>
      <c r="D366" s="3">
        <v>44995.0</v>
      </c>
      <c r="E366" s="2" t="s">
        <v>38</v>
      </c>
      <c r="F366" s="2">
        <v>4.0</v>
      </c>
      <c r="G366" s="2">
        <v>66.0</v>
      </c>
      <c r="H366" s="2">
        <v>1.0</v>
      </c>
      <c r="I366" s="2">
        <v>25.0</v>
      </c>
      <c r="J366" s="2" t="s">
        <v>35</v>
      </c>
      <c r="K366" s="2" t="s">
        <v>26</v>
      </c>
      <c r="L366" s="2">
        <v>0.0</v>
      </c>
    </row>
    <row r="367">
      <c r="A367" s="2" t="s">
        <v>754</v>
      </c>
      <c r="B367" s="2" t="s">
        <v>755</v>
      </c>
      <c r="C367" s="3">
        <v>45089.0</v>
      </c>
      <c r="D367" s="3">
        <v>45101.0</v>
      </c>
      <c r="E367" s="2" t="s">
        <v>22</v>
      </c>
      <c r="F367" s="2">
        <v>3.7</v>
      </c>
      <c r="G367" s="2">
        <v>23.0</v>
      </c>
      <c r="H367" s="2">
        <v>1.0</v>
      </c>
      <c r="I367" s="2">
        <v>39.0</v>
      </c>
      <c r="J367" s="2" t="s">
        <v>32</v>
      </c>
      <c r="K367" s="2" t="s">
        <v>16</v>
      </c>
      <c r="L367" s="2">
        <v>0.0</v>
      </c>
    </row>
    <row r="368">
      <c r="A368" s="2" t="s">
        <v>756</v>
      </c>
      <c r="B368" s="2" t="s">
        <v>757</v>
      </c>
      <c r="C368" s="3">
        <v>44987.0</v>
      </c>
      <c r="D368" s="3">
        <v>44999.0</v>
      </c>
      <c r="E368" s="2" t="s">
        <v>29</v>
      </c>
      <c r="F368" s="2">
        <v>2.3</v>
      </c>
      <c r="G368" s="2">
        <v>92.0</v>
      </c>
      <c r="H368" s="2">
        <v>0.0</v>
      </c>
      <c r="I368" s="2">
        <v>48.0</v>
      </c>
      <c r="J368" s="2" t="s">
        <v>32</v>
      </c>
      <c r="K368" s="2" t="s">
        <v>26</v>
      </c>
      <c r="L368" s="2">
        <v>0.0</v>
      </c>
    </row>
    <row r="369">
      <c r="A369" s="2" t="s">
        <v>758</v>
      </c>
      <c r="B369" s="2" t="s">
        <v>759</v>
      </c>
      <c r="C369" s="3">
        <v>45025.0</v>
      </c>
      <c r="D369" s="3">
        <v>45037.0</v>
      </c>
      <c r="E369" s="2" t="s">
        <v>29</v>
      </c>
      <c r="F369" s="2">
        <v>4.2</v>
      </c>
      <c r="G369" s="2">
        <v>45.0</v>
      </c>
      <c r="H369" s="2">
        <v>0.0</v>
      </c>
      <c r="I369" s="2">
        <v>35.0</v>
      </c>
      <c r="J369" s="2" t="s">
        <v>19</v>
      </c>
      <c r="K369" s="2" t="s">
        <v>16</v>
      </c>
      <c r="L369" s="2">
        <v>1.0</v>
      </c>
    </row>
    <row r="370">
      <c r="A370" s="2" t="s">
        <v>760</v>
      </c>
      <c r="B370" s="2" t="s">
        <v>761</v>
      </c>
      <c r="C370" s="3">
        <v>44955.0</v>
      </c>
      <c r="D370" s="3">
        <v>44967.0</v>
      </c>
      <c r="E370" s="2" t="s">
        <v>29</v>
      </c>
      <c r="F370" s="2">
        <v>0.7</v>
      </c>
      <c r="G370" s="2">
        <v>62.0</v>
      </c>
      <c r="H370" s="2">
        <v>0.0</v>
      </c>
      <c r="I370" s="2">
        <v>15.0</v>
      </c>
      <c r="J370" s="2" t="s">
        <v>23</v>
      </c>
      <c r="K370" s="2" t="s">
        <v>26</v>
      </c>
      <c r="L370" s="2">
        <v>1.0</v>
      </c>
    </row>
    <row r="371">
      <c r="A371" s="2" t="s">
        <v>762</v>
      </c>
      <c r="B371" s="2" t="s">
        <v>763</v>
      </c>
      <c r="C371" s="3">
        <v>45175.0</v>
      </c>
      <c r="D371" s="3">
        <v>45187.0</v>
      </c>
      <c r="E371" s="2" t="s">
        <v>22</v>
      </c>
      <c r="F371" s="2">
        <v>4.3</v>
      </c>
      <c r="G371" s="2">
        <v>46.0</v>
      </c>
      <c r="H371" s="2">
        <v>1.0</v>
      </c>
      <c r="I371" s="2">
        <v>45.0</v>
      </c>
      <c r="J371" s="2" t="s">
        <v>35</v>
      </c>
      <c r="K371" s="2" t="s">
        <v>26</v>
      </c>
      <c r="L371" s="2">
        <v>0.0</v>
      </c>
    </row>
    <row r="372">
      <c r="A372" s="2" t="s">
        <v>764</v>
      </c>
      <c r="B372" s="2" t="s">
        <v>765</v>
      </c>
      <c r="C372" s="3">
        <v>44986.0</v>
      </c>
      <c r="D372" s="3">
        <v>44998.0</v>
      </c>
      <c r="E372" s="2" t="s">
        <v>29</v>
      </c>
      <c r="F372" s="2">
        <v>2.2</v>
      </c>
      <c r="G372" s="2">
        <v>39.0</v>
      </c>
      <c r="H372" s="2">
        <v>1.0</v>
      </c>
      <c r="I372" s="2">
        <v>44.0</v>
      </c>
      <c r="J372" s="2" t="s">
        <v>23</v>
      </c>
      <c r="K372" s="2" t="s">
        <v>16</v>
      </c>
      <c r="L372" s="2">
        <v>1.0</v>
      </c>
    </row>
    <row r="373">
      <c r="A373" s="2" t="s">
        <v>766</v>
      </c>
      <c r="B373" s="2" t="s">
        <v>767</v>
      </c>
      <c r="C373" s="3">
        <v>44940.0</v>
      </c>
      <c r="D373" s="3">
        <v>44952.0</v>
      </c>
      <c r="E373" s="2" t="s">
        <v>14</v>
      </c>
      <c r="F373" s="2">
        <v>3.6</v>
      </c>
      <c r="G373" s="2">
        <v>24.0</v>
      </c>
      <c r="H373" s="2">
        <v>0.0</v>
      </c>
      <c r="I373" s="2">
        <v>38.0</v>
      </c>
      <c r="J373" s="2" t="s">
        <v>23</v>
      </c>
      <c r="K373" s="2" t="s">
        <v>26</v>
      </c>
      <c r="L373" s="2">
        <v>1.0</v>
      </c>
    </row>
    <row r="374">
      <c r="A374" s="2" t="s">
        <v>768</v>
      </c>
      <c r="B374" s="2" t="s">
        <v>769</v>
      </c>
      <c r="C374" s="3">
        <v>45049.0</v>
      </c>
      <c r="D374" s="3">
        <v>45061.0</v>
      </c>
      <c r="E374" s="2" t="s">
        <v>22</v>
      </c>
      <c r="F374" s="2">
        <v>1.9</v>
      </c>
      <c r="G374" s="2">
        <v>61.0</v>
      </c>
      <c r="H374" s="2">
        <v>1.0</v>
      </c>
      <c r="I374" s="2">
        <v>51.0</v>
      </c>
      <c r="J374" s="2" t="s">
        <v>19</v>
      </c>
      <c r="K374" s="2" t="s">
        <v>26</v>
      </c>
      <c r="L374" s="2">
        <v>0.0</v>
      </c>
    </row>
    <row r="375">
      <c r="A375" s="2" t="s">
        <v>770</v>
      </c>
      <c r="B375" s="2" t="s">
        <v>771</v>
      </c>
      <c r="C375" s="3">
        <v>45081.0</v>
      </c>
      <c r="D375" s="3">
        <v>45093.0</v>
      </c>
      <c r="E375" s="2" t="s">
        <v>29</v>
      </c>
      <c r="F375" s="2">
        <v>0.2</v>
      </c>
      <c r="G375" s="2">
        <v>7.0</v>
      </c>
      <c r="H375" s="2">
        <v>1.0</v>
      </c>
      <c r="I375" s="2">
        <v>30.0</v>
      </c>
      <c r="J375" s="2" t="s">
        <v>23</v>
      </c>
      <c r="K375" s="2" t="s">
        <v>47</v>
      </c>
      <c r="L375" s="2">
        <v>1.0</v>
      </c>
    </row>
    <row r="376">
      <c r="A376" s="2" t="s">
        <v>772</v>
      </c>
      <c r="B376" s="2" t="s">
        <v>773</v>
      </c>
      <c r="C376" s="3">
        <v>45004.0</v>
      </c>
      <c r="D376" s="3">
        <v>45016.0</v>
      </c>
      <c r="E376" s="2" t="s">
        <v>14</v>
      </c>
      <c r="F376" s="2">
        <v>0.3</v>
      </c>
      <c r="G376" s="2">
        <v>26.0</v>
      </c>
      <c r="H376" s="2">
        <v>0.0</v>
      </c>
      <c r="I376" s="2">
        <v>26.0</v>
      </c>
      <c r="J376" s="2" t="s">
        <v>19</v>
      </c>
      <c r="K376" s="2" t="s">
        <v>26</v>
      </c>
      <c r="L376" s="2">
        <v>1.0</v>
      </c>
    </row>
    <row r="377">
      <c r="A377" s="2" t="s">
        <v>774</v>
      </c>
      <c r="B377" s="2" t="s">
        <v>775</v>
      </c>
      <c r="C377" s="3">
        <v>45052.0</v>
      </c>
      <c r="D377" s="3">
        <v>45064.0</v>
      </c>
      <c r="E377" s="2" t="s">
        <v>14</v>
      </c>
      <c r="F377" s="2">
        <v>0.8</v>
      </c>
      <c r="G377" s="2">
        <v>43.0</v>
      </c>
      <c r="H377" s="2">
        <v>0.0</v>
      </c>
      <c r="I377" s="2">
        <v>46.0</v>
      </c>
      <c r="J377" s="2" t="s">
        <v>23</v>
      </c>
      <c r="K377" s="2" t="s">
        <v>47</v>
      </c>
      <c r="L377" s="2">
        <v>1.0</v>
      </c>
    </row>
    <row r="378">
      <c r="A378" s="2" t="s">
        <v>776</v>
      </c>
      <c r="B378" s="2" t="s">
        <v>777</v>
      </c>
      <c r="C378" s="3">
        <v>45001.0</v>
      </c>
      <c r="D378" s="3">
        <v>45013.0</v>
      </c>
      <c r="E378" s="2" t="s">
        <v>14</v>
      </c>
      <c r="F378" s="2">
        <v>3.1</v>
      </c>
      <c r="G378" s="2">
        <v>35.0</v>
      </c>
      <c r="H378" s="2">
        <v>1.0</v>
      </c>
      <c r="I378" s="2">
        <v>34.0</v>
      </c>
      <c r="J378" s="2" t="s">
        <v>19</v>
      </c>
      <c r="K378" s="2" t="s">
        <v>26</v>
      </c>
      <c r="L378" s="2">
        <v>1.0</v>
      </c>
    </row>
    <row r="379">
      <c r="A379" s="2" t="s">
        <v>778</v>
      </c>
      <c r="B379" s="2" t="s">
        <v>779</v>
      </c>
      <c r="C379" s="3">
        <v>45014.0</v>
      </c>
      <c r="D379" s="3">
        <v>45026.0</v>
      </c>
      <c r="E379" s="2" t="s">
        <v>22</v>
      </c>
      <c r="F379" s="2">
        <v>3.5</v>
      </c>
      <c r="G379" s="2">
        <v>14.0</v>
      </c>
      <c r="H379" s="2">
        <v>1.0</v>
      </c>
      <c r="I379" s="2">
        <v>53.0</v>
      </c>
      <c r="J379" s="2" t="s">
        <v>32</v>
      </c>
      <c r="K379" s="2" t="s">
        <v>47</v>
      </c>
      <c r="L379" s="2">
        <v>1.0</v>
      </c>
    </row>
    <row r="380">
      <c r="A380" s="2" t="s">
        <v>780</v>
      </c>
      <c r="B380" s="2" t="s">
        <v>781</v>
      </c>
      <c r="C380" s="3">
        <v>45140.0</v>
      </c>
      <c r="D380" s="3">
        <v>45152.0</v>
      </c>
      <c r="E380" s="2" t="s">
        <v>22</v>
      </c>
      <c r="F380" s="2">
        <v>1.6</v>
      </c>
      <c r="G380" s="2">
        <v>36.0</v>
      </c>
      <c r="H380" s="2">
        <v>1.0</v>
      </c>
      <c r="I380" s="2">
        <v>36.0</v>
      </c>
      <c r="J380" s="2" t="s">
        <v>35</v>
      </c>
      <c r="K380" s="2" t="s">
        <v>16</v>
      </c>
      <c r="L380" s="2">
        <v>0.0</v>
      </c>
    </row>
    <row r="381">
      <c r="A381" s="2" t="s">
        <v>782</v>
      </c>
      <c r="B381" s="2" t="s">
        <v>783</v>
      </c>
      <c r="C381" s="3">
        <v>45018.0</v>
      </c>
      <c r="D381" s="3">
        <v>45030.0</v>
      </c>
      <c r="E381" s="2" t="s">
        <v>38</v>
      </c>
      <c r="F381" s="2">
        <v>4.4</v>
      </c>
      <c r="G381" s="2">
        <v>68.0</v>
      </c>
      <c r="H381" s="2">
        <v>1.0</v>
      </c>
      <c r="I381" s="2">
        <v>12.0</v>
      </c>
      <c r="J381" s="2" t="s">
        <v>19</v>
      </c>
      <c r="K381" s="2" t="s">
        <v>47</v>
      </c>
      <c r="L381" s="2">
        <v>1.0</v>
      </c>
    </row>
    <row r="382">
      <c r="A382" s="2" t="s">
        <v>784</v>
      </c>
      <c r="B382" s="2" t="s">
        <v>785</v>
      </c>
      <c r="C382" s="3">
        <v>44982.0</v>
      </c>
      <c r="D382" s="3">
        <v>44994.0</v>
      </c>
      <c r="E382" s="2" t="s">
        <v>29</v>
      </c>
      <c r="F382" s="2">
        <v>0.0</v>
      </c>
      <c r="G382" s="2">
        <v>56.0</v>
      </c>
      <c r="H382" s="2">
        <v>1.0</v>
      </c>
      <c r="I382" s="2">
        <v>13.0</v>
      </c>
      <c r="J382" s="2" t="s">
        <v>32</v>
      </c>
      <c r="K382" s="2" t="s">
        <v>47</v>
      </c>
      <c r="L382" s="2">
        <v>0.0</v>
      </c>
    </row>
    <row r="383">
      <c r="A383" s="2" t="s">
        <v>786</v>
      </c>
      <c r="B383" s="2" t="s">
        <v>787</v>
      </c>
      <c r="C383" s="3">
        <v>45012.0</v>
      </c>
      <c r="D383" s="3">
        <v>45024.0</v>
      </c>
      <c r="E383" s="2" t="s">
        <v>38</v>
      </c>
      <c r="F383" s="2">
        <v>1.2</v>
      </c>
      <c r="G383" s="2">
        <v>100.0</v>
      </c>
      <c r="H383" s="2">
        <v>0.0</v>
      </c>
      <c r="I383" s="2">
        <v>31.0</v>
      </c>
      <c r="J383" s="2" t="s">
        <v>35</v>
      </c>
      <c r="K383" s="2" t="s">
        <v>26</v>
      </c>
      <c r="L383" s="2">
        <v>1.0</v>
      </c>
    </row>
    <row r="384">
      <c r="A384" s="2" t="s">
        <v>788</v>
      </c>
      <c r="B384" s="2" t="s">
        <v>789</v>
      </c>
      <c r="C384" s="3">
        <v>45150.0</v>
      </c>
      <c r="D384" s="3">
        <v>45162.0</v>
      </c>
      <c r="E384" s="2" t="s">
        <v>22</v>
      </c>
      <c r="F384" s="2">
        <v>1.5</v>
      </c>
      <c r="G384" s="2">
        <v>77.0</v>
      </c>
      <c r="H384" s="2">
        <v>1.0</v>
      </c>
      <c r="I384" s="2">
        <v>43.0</v>
      </c>
      <c r="J384" s="2" t="s">
        <v>32</v>
      </c>
      <c r="K384" s="2" t="s">
        <v>16</v>
      </c>
      <c r="L384" s="2">
        <v>1.0</v>
      </c>
    </row>
    <row r="385">
      <c r="A385" s="2" t="s">
        <v>790</v>
      </c>
      <c r="B385" s="2" t="s">
        <v>791</v>
      </c>
      <c r="C385" s="3">
        <v>45018.0</v>
      </c>
      <c r="D385" s="3">
        <v>45030.0</v>
      </c>
      <c r="E385" s="2" t="s">
        <v>29</v>
      </c>
      <c r="F385" s="2">
        <v>4.6</v>
      </c>
      <c r="G385" s="2">
        <v>21.0</v>
      </c>
      <c r="H385" s="2">
        <v>1.0</v>
      </c>
      <c r="I385" s="2">
        <v>50.0</v>
      </c>
      <c r="J385" s="2" t="s">
        <v>19</v>
      </c>
      <c r="K385" s="2" t="s">
        <v>47</v>
      </c>
      <c r="L385" s="2">
        <v>1.0</v>
      </c>
    </row>
    <row r="386">
      <c r="A386" s="2" t="s">
        <v>792</v>
      </c>
      <c r="B386" s="2" t="s">
        <v>793</v>
      </c>
      <c r="C386" s="3">
        <v>45180.0</v>
      </c>
      <c r="D386" s="3">
        <v>45192.0</v>
      </c>
      <c r="E386" s="2" t="s">
        <v>14</v>
      </c>
      <c r="F386" s="2">
        <v>4.8</v>
      </c>
      <c r="G386" s="2">
        <v>81.0</v>
      </c>
      <c r="H386" s="2">
        <v>1.0</v>
      </c>
      <c r="I386" s="2">
        <v>47.0</v>
      </c>
      <c r="J386" s="2" t="s">
        <v>32</v>
      </c>
      <c r="K386" s="2" t="s">
        <v>47</v>
      </c>
      <c r="L386" s="2">
        <v>1.0</v>
      </c>
    </row>
    <row r="387">
      <c r="A387" s="2" t="s">
        <v>794</v>
      </c>
      <c r="B387" s="2" t="s">
        <v>795</v>
      </c>
      <c r="C387" s="3">
        <v>45206.0</v>
      </c>
      <c r="D387" s="3">
        <v>45218.0</v>
      </c>
      <c r="E387" s="2" t="s">
        <v>29</v>
      </c>
      <c r="F387" s="2">
        <v>2.8</v>
      </c>
      <c r="G387" s="2">
        <v>57.0</v>
      </c>
      <c r="H387" s="2">
        <v>1.0</v>
      </c>
      <c r="I387" s="2">
        <v>27.0</v>
      </c>
      <c r="J387" s="2" t="s">
        <v>23</v>
      </c>
      <c r="K387" s="2" t="s">
        <v>16</v>
      </c>
      <c r="L387" s="2">
        <v>0.0</v>
      </c>
    </row>
    <row r="388">
      <c r="A388" s="2" t="s">
        <v>796</v>
      </c>
      <c r="B388" s="2" t="s">
        <v>797</v>
      </c>
      <c r="C388" s="3">
        <v>45126.0</v>
      </c>
      <c r="D388" s="3">
        <v>45138.0</v>
      </c>
      <c r="E388" s="2" t="s">
        <v>38</v>
      </c>
      <c r="F388" s="2">
        <v>2.1</v>
      </c>
      <c r="G388" s="2">
        <v>17.0</v>
      </c>
      <c r="H388" s="2">
        <v>1.0</v>
      </c>
      <c r="I388" s="2">
        <v>20.0</v>
      </c>
      <c r="J388" s="2" t="s">
        <v>32</v>
      </c>
      <c r="K388" s="2" t="s">
        <v>16</v>
      </c>
      <c r="L388" s="2">
        <v>1.0</v>
      </c>
    </row>
    <row r="389">
      <c r="A389" s="2" t="s">
        <v>798</v>
      </c>
      <c r="B389" s="2" t="s">
        <v>799</v>
      </c>
      <c r="C389" s="3">
        <v>45203.0</v>
      </c>
      <c r="D389" s="3">
        <v>45215.0</v>
      </c>
      <c r="E389" s="2" t="s">
        <v>29</v>
      </c>
      <c r="F389" s="2">
        <v>3.0</v>
      </c>
      <c r="G389" s="2">
        <v>91.0</v>
      </c>
      <c r="H389" s="2">
        <v>1.0</v>
      </c>
      <c r="I389" s="2">
        <v>42.0</v>
      </c>
      <c r="J389" s="2" t="s">
        <v>23</v>
      </c>
      <c r="K389" s="2" t="s">
        <v>16</v>
      </c>
      <c r="L389" s="2">
        <v>1.0</v>
      </c>
    </row>
    <row r="390">
      <c r="A390" s="2" t="s">
        <v>800</v>
      </c>
      <c r="B390" s="2" t="s">
        <v>801</v>
      </c>
      <c r="C390" s="3">
        <v>45218.0</v>
      </c>
      <c r="D390" s="3">
        <v>45230.0</v>
      </c>
      <c r="E390" s="2" t="s">
        <v>29</v>
      </c>
      <c r="F390" s="2">
        <v>3.9</v>
      </c>
      <c r="G390" s="2">
        <v>2.0</v>
      </c>
      <c r="H390" s="2">
        <v>1.0</v>
      </c>
      <c r="I390" s="2">
        <v>52.0</v>
      </c>
      <c r="J390" s="2" t="s">
        <v>19</v>
      </c>
      <c r="K390" s="2" t="s">
        <v>16</v>
      </c>
      <c r="L390" s="2">
        <v>1.0</v>
      </c>
    </row>
    <row r="391">
      <c r="A391" s="2" t="s">
        <v>802</v>
      </c>
      <c r="B391" s="2" t="s">
        <v>803</v>
      </c>
      <c r="C391" s="3">
        <v>45124.0</v>
      </c>
      <c r="D391" s="3">
        <v>45136.0</v>
      </c>
      <c r="E391" s="2" t="s">
        <v>29</v>
      </c>
      <c r="F391" s="2">
        <v>4.7</v>
      </c>
      <c r="G391" s="2">
        <v>4.0</v>
      </c>
      <c r="H391" s="2">
        <v>0.0</v>
      </c>
      <c r="I391" s="2">
        <v>16.0</v>
      </c>
      <c r="J391" s="2" t="s">
        <v>19</v>
      </c>
      <c r="K391" s="2" t="s">
        <v>47</v>
      </c>
      <c r="L391" s="2">
        <v>1.0</v>
      </c>
    </row>
    <row r="392">
      <c r="A392" s="2" t="s">
        <v>804</v>
      </c>
      <c r="B392" s="2" t="s">
        <v>805</v>
      </c>
      <c r="C392" s="3">
        <v>45220.0</v>
      </c>
      <c r="D392" s="3">
        <v>45232.0</v>
      </c>
      <c r="E392" s="2" t="s">
        <v>22</v>
      </c>
      <c r="F392" s="2">
        <v>1.8</v>
      </c>
      <c r="G392" s="2">
        <v>10.0</v>
      </c>
      <c r="H392" s="2">
        <v>0.0</v>
      </c>
      <c r="I392" s="2">
        <v>37.0</v>
      </c>
      <c r="J392" s="2" t="s">
        <v>19</v>
      </c>
      <c r="K392" s="2" t="s">
        <v>47</v>
      </c>
      <c r="L392" s="2">
        <v>1.0</v>
      </c>
    </row>
    <row r="393">
      <c r="A393" s="2" t="s">
        <v>806</v>
      </c>
      <c r="B393" s="2" t="s">
        <v>807</v>
      </c>
      <c r="C393" s="3">
        <v>45088.0</v>
      </c>
      <c r="D393" s="3">
        <v>45100.0</v>
      </c>
      <c r="E393" s="2" t="s">
        <v>29</v>
      </c>
      <c r="F393" s="2">
        <v>0.5</v>
      </c>
      <c r="G393" s="2">
        <v>31.0</v>
      </c>
      <c r="H393" s="2">
        <v>1.0</v>
      </c>
      <c r="I393" s="2">
        <v>29.0</v>
      </c>
      <c r="J393" s="2" t="s">
        <v>32</v>
      </c>
      <c r="K393" s="2" t="s">
        <v>26</v>
      </c>
      <c r="L393" s="2">
        <v>1.0</v>
      </c>
    </row>
    <row r="394">
      <c r="A394" s="2" t="s">
        <v>808</v>
      </c>
      <c r="B394" s="2" t="s">
        <v>809</v>
      </c>
      <c r="C394" s="3">
        <v>44945.0</v>
      </c>
      <c r="D394" s="3">
        <v>44957.0</v>
      </c>
      <c r="E394" s="2" t="s">
        <v>29</v>
      </c>
      <c r="F394" s="2">
        <v>0.6</v>
      </c>
      <c r="G394" s="2">
        <v>12.0</v>
      </c>
      <c r="H394" s="2">
        <v>0.0</v>
      </c>
      <c r="I394" s="2">
        <v>19.0</v>
      </c>
      <c r="J394" s="2" t="s">
        <v>23</v>
      </c>
      <c r="K394" s="2" t="s">
        <v>26</v>
      </c>
      <c r="L394" s="2">
        <v>1.0</v>
      </c>
    </row>
    <row r="395">
      <c r="A395" s="2" t="s">
        <v>810</v>
      </c>
      <c r="B395" s="2" t="s">
        <v>811</v>
      </c>
      <c r="C395" s="3">
        <v>45214.0</v>
      </c>
      <c r="D395" s="3">
        <v>45226.0</v>
      </c>
      <c r="E395" s="2" t="s">
        <v>14</v>
      </c>
      <c r="F395" s="2">
        <v>2.4</v>
      </c>
      <c r="G395" s="2">
        <v>83.0</v>
      </c>
      <c r="H395" s="2">
        <v>0.0</v>
      </c>
      <c r="I395" s="2">
        <v>55.0</v>
      </c>
      <c r="J395" s="2" t="s">
        <v>23</v>
      </c>
      <c r="K395" s="2" t="s">
        <v>16</v>
      </c>
      <c r="L395" s="2">
        <v>1.0</v>
      </c>
    </row>
    <row r="396">
      <c r="A396" s="2" t="s">
        <v>812</v>
      </c>
      <c r="B396" s="2" t="s">
        <v>813</v>
      </c>
      <c r="C396" s="3">
        <v>45213.0</v>
      </c>
      <c r="D396" s="3">
        <v>45225.0</v>
      </c>
      <c r="E396" s="2" t="s">
        <v>38</v>
      </c>
      <c r="F396" s="2">
        <v>0.1</v>
      </c>
      <c r="G396" s="2">
        <v>50.0</v>
      </c>
      <c r="H396" s="2">
        <v>1.0</v>
      </c>
      <c r="I396" s="2">
        <v>54.0</v>
      </c>
      <c r="J396" s="2" t="s">
        <v>32</v>
      </c>
      <c r="K396" s="2" t="s">
        <v>47</v>
      </c>
      <c r="L396" s="2">
        <v>1.0</v>
      </c>
    </row>
    <row r="397">
      <c r="A397" s="2" t="s">
        <v>814</v>
      </c>
      <c r="B397" s="2" t="s">
        <v>815</v>
      </c>
      <c r="C397" s="3">
        <v>45100.0</v>
      </c>
      <c r="D397" s="3">
        <v>45112.0</v>
      </c>
      <c r="E397" s="2" t="s">
        <v>22</v>
      </c>
      <c r="F397" s="2">
        <v>4.9</v>
      </c>
      <c r="G397" s="2">
        <v>53.0</v>
      </c>
      <c r="H397" s="2">
        <v>0.0</v>
      </c>
      <c r="I397" s="2">
        <v>28.0</v>
      </c>
      <c r="J397" s="2" t="s">
        <v>23</v>
      </c>
      <c r="K397" s="2" t="s">
        <v>16</v>
      </c>
      <c r="L397" s="2">
        <v>1.0</v>
      </c>
    </row>
    <row r="398">
      <c r="A398" s="2" t="s">
        <v>816</v>
      </c>
      <c r="B398" s="2" t="s">
        <v>817</v>
      </c>
      <c r="C398" s="3">
        <v>45057.0</v>
      </c>
      <c r="D398" s="3">
        <v>45069.0</v>
      </c>
      <c r="E398" s="2" t="s">
        <v>38</v>
      </c>
      <c r="F398" s="2">
        <v>3.3</v>
      </c>
      <c r="G398" s="2">
        <v>3.0</v>
      </c>
      <c r="H398" s="2">
        <v>1.0</v>
      </c>
      <c r="I398" s="2">
        <v>24.0</v>
      </c>
      <c r="J398" s="2" t="s">
        <v>19</v>
      </c>
      <c r="K398" s="2" t="s">
        <v>16</v>
      </c>
      <c r="L398" s="2">
        <v>1.0</v>
      </c>
    </row>
    <row r="399">
      <c r="A399" s="2" t="s">
        <v>818</v>
      </c>
      <c r="B399" s="2" t="s">
        <v>819</v>
      </c>
      <c r="C399" s="3">
        <v>45076.0</v>
      </c>
      <c r="D399" s="3">
        <v>45088.0</v>
      </c>
      <c r="E399" s="2" t="s">
        <v>29</v>
      </c>
      <c r="F399" s="2">
        <v>2.0</v>
      </c>
      <c r="G399" s="2">
        <v>29.0</v>
      </c>
      <c r="H399" s="2">
        <v>1.0</v>
      </c>
      <c r="I399" s="2">
        <v>22.0</v>
      </c>
      <c r="J399" s="2" t="s">
        <v>35</v>
      </c>
      <c r="K399" s="2" t="s">
        <v>47</v>
      </c>
      <c r="L399" s="2">
        <v>1.0</v>
      </c>
    </row>
    <row r="400">
      <c r="A400" s="2" t="s">
        <v>820</v>
      </c>
      <c r="B400" s="2" t="s">
        <v>821</v>
      </c>
      <c r="C400" s="3">
        <v>45201.0</v>
      </c>
      <c r="D400" s="3">
        <v>45213.0</v>
      </c>
      <c r="E400" s="2" t="s">
        <v>22</v>
      </c>
      <c r="F400" s="2">
        <v>2.9</v>
      </c>
      <c r="G400" s="2">
        <v>67.0</v>
      </c>
      <c r="H400" s="2">
        <v>0.0</v>
      </c>
      <c r="I400" s="2">
        <v>40.0</v>
      </c>
      <c r="J400" s="2" t="s">
        <v>32</v>
      </c>
      <c r="K400" s="2" t="s">
        <v>47</v>
      </c>
      <c r="L400" s="2">
        <v>1.0</v>
      </c>
    </row>
    <row r="401">
      <c r="A401" s="2" t="s">
        <v>822</v>
      </c>
      <c r="B401" s="2" t="s">
        <v>823</v>
      </c>
      <c r="C401" s="3">
        <v>45263.0</v>
      </c>
      <c r="D401" s="3">
        <v>45275.0</v>
      </c>
      <c r="E401" s="2" t="s">
        <v>38</v>
      </c>
      <c r="F401" s="2">
        <v>0.4</v>
      </c>
      <c r="G401" s="2">
        <v>75.0</v>
      </c>
      <c r="H401" s="2">
        <v>1.0</v>
      </c>
      <c r="I401" s="2">
        <v>32.0</v>
      </c>
      <c r="J401" s="2" t="s">
        <v>15</v>
      </c>
      <c r="K401" s="2" t="s">
        <v>26</v>
      </c>
      <c r="L401" s="2">
        <v>1.0</v>
      </c>
    </row>
    <row r="402">
      <c r="A402" s="2" t="s">
        <v>824</v>
      </c>
      <c r="B402" s="2" t="s">
        <v>825</v>
      </c>
      <c r="C402" s="3">
        <v>45026.0</v>
      </c>
      <c r="D402" s="3">
        <v>45038.0</v>
      </c>
      <c r="E402" s="2" t="s">
        <v>22</v>
      </c>
      <c r="F402" s="2">
        <v>5.0</v>
      </c>
      <c r="G402" s="2">
        <v>71.0</v>
      </c>
      <c r="H402" s="2">
        <v>1.0</v>
      </c>
      <c r="I402" s="2">
        <v>41.0</v>
      </c>
      <c r="J402" s="2" t="s">
        <v>15</v>
      </c>
      <c r="K402" s="2" t="s">
        <v>16</v>
      </c>
      <c r="L402" s="2">
        <v>1.0</v>
      </c>
    </row>
    <row r="403">
      <c r="A403" s="2" t="s">
        <v>826</v>
      </c>
      <c r="B403" s="2" t="s">
        <v>827</v>
      </c>
      <c r="C403" s="3">
        <v>45195.0</v>
      </c>
      <c r="D403" s="3">
        <v>45207.0</v>
      </c>
      <c r="E403" s="2" t="s">
        <v>38</v>
      </c>
      <c r="F403" s="2">
        <v>2.6</v>
      </c>
      <c r="G403" s="2">
        <v>1.0</v>
      </c>
      <c r="H403" s="2">
        <v>0.0</v>
      </c>
      <c r="I403" s="2">
        <v>21.0</v>
      </c>
      <c r="J403" s="2" t="s">
        <v>23</v>
      </c>
      <c r="K403" s="2" t="s">
        <v>16</v>
      </c>
      <c r="L403" s="2">
        <v>1.0</v>
      </c>
    </row>
    <row r="404">
      <c r="A404" s="2" t="s">
        <v>828</v>
      </c>
      <c r="B404" s="2" t="s">
        <v>829</v>
      </c>
      <c r="C404" s="3">
        <v>45255.0</v>
      </c>
      <c r="D404" s="3">
        <v>45267.0</v>
      </c>
      <c r="E404" s="2" t="s">
        <v>14</v>
      </c>
      <c r="F404" s="2">
        <v>0.9</v>
      </c>
      <c r="G404" s="2">
        <v>22.0</v>
      </c>
      <c r="H404" s="2">
        <v>0.0</v>
      </c>
      <c r="I404" s="2">
        <v>23.0</v>
      </c>
      <c r="J404" s="2" t="s">
        <v>35</v>
      </c>
      <c r="K404" s="2" t="s">
        <v>16</v>
      </c>
      <c r="L404" s="2">
        <v>0.0</v>
      </c>
    </row>
    <row r="405">
      <c r="A405" s="2" t="s">
        <v>830</v>
      </c>
      <c r="B405" s="2" t="s">
        <v>831</v>
      </c>
      <c r="C405" s="3">
        <v>45115.0</v>
      </c>
      <c r="D405" s="3">
        <v>45127.0</v>
      </c>
      <c r="E405" s="2" t="s">
        <v>29</v>
      </c>
      <c r="F405" s="2">
        <v>3.8</v>
      </c>
      <c r="G405" s="2">
        <v>0.0</v>
      </c>
      <c r="H405" s="2">
        <v>1.0</v>
      </c>
      <c r="I405" s="2">
        <v>18.0</v>
      </c>
      <c r="J405" s="2" t="s">
        <v>19</v>
      </c>
      <c r="K405" s="2" t="s">
        <v>26</v>
      </c>
      <c r="L405" s="2">
        <v>1.0</v>
      </c>
    </row>
    <row r="406">
      <c r="A406" s="2" t="s">
        <v>832</v>
      </c>
      <c r="B406" s="2" t="s">
        <v>833</v>
      </c>
      <c r="C406" s="3">
        <v>45026.0</v>
      </c>
      <c r="D406" s="3">
        <v>45038.0</v>
      </c>
      <c r="E406" s="2" t="s">
        <v>22</v>
      </c>
      <c r="F406" s="2">
        <v>2.5</v>
      </c>
      <c r="G406" s="2">
        <v>50.0</v>
      </c>
      <c r="H406" s="2">
        <v>1.0</v>
      </c>
      <c r="I406" s="2">
        <v>56.0</v>
      </c>
      <c r="J406" s="2" t="s">
        <v>15</v>
      </c>
      <c r="K406" s="2" t="s">
        <v>47</v>
      </c>
      <c r="L406" s="2">
        <v>0.0</v>
      </c>
    </row>
    <row r="407">
      <c r="A407" s="2" t="s">
        <v>834</v>
      </c>
      <c r="B407" s="2" t="s">
        <v>835</v>
      </c>
      <c r="C407" s="3">
        <v>44958.0</v>
      </c>
      <c r="D407" s="3">
        <v>44970.0</v>
      </c>
      <c r="E407" s="2" t="s">
        <v>38</v>
      </c>
      <c r="F407" s="2">
        <v>4.5</v>
      </c>
      <c r="G407" s="2">
        <v>94.0</v>
      </c>
      <c r="H407" s="2">
        <v>1.0</v>
      </c>
      <c r="I407" s="2">
        <v>39.0</v>
      </c>
      <c r="J407" s="2" t="s">
        <v>15</v>
      </c>
      <c r="K407" s="2" t="s">
        <v>47</v>
      </c>
      <c r="L407" s="2">
        <v>1.0</v>
      </c>
    </row>
    <row r="408">
      <c r="A408" s="2" t="s">
        <v>836</v>
      </c>
      <c r="B408" s="2" t="s">
        <v>837</v>
      </c>
      <c r="C408" s="3">
        <v>45163.0</v>
      </c>
      <c r="D408" s="3">
        <v>45175.0</v>
      </c>
      <c r="E408" s="2" t="s">
        <v>14</v>
      </c>
      <c r="F408" s="2">
        <v>1.3</v>
      </c>
      <c r="G408" s="2">
        <v>7.0</v>
      </c>
      <c r="H408" s="2">
        <v>0.0</v>
      </c>
      <c r="I408" s="2">
        <v>52.0</v>
      </c>
      <c r="J408" s="2" t="s">
        <v>23</v>
      </c>
      <c r="K408" s="2" t="s">
        <v>47</v>
      </c>
      <c r="L408" s="2">
        <v>1.0</v>
      </c>
    </row>
    <row r="409">
      <c r="A409" s="2" t="s">
        <v>838</v>
      </c>
      <c r="B409" s="2" t="s">
        <v>839</v>
      </c>
      <c r="C409" s="3">
        <v>44976.0</v>
      </c>
      <c r="D409" s="3">
        <v>44988.0</v>
      </c>
      <c r="E409" s="2" t="s">
        <v>22</v>
      </c>
      <c r="F409" s="2">
        <v>2.7</v>
      </c>
      <c r="G409" s="2">
        <v>51.0</v>
      </c>
      <c r="H409" s="2">
        <v>0.0</v>
      </c>
      <c r="I409" s="2">
        <v>55.0</v>
      </c>
      <c r="J409" s="2" t="s">
        <v>19</v>
      </c>
      <c r="K409" s="2" t="s">
        <v>26</v>
      </c>
      <c r="L409" s="2">
        <v>1.0</v>
      </c>
    </row>
    <row r="410">
      <c r="A410" s="2" t="s">
        <v>840</v>
      </c>
      <c r="B410" s="2" t="s">
        <v>841</v>
      </c>
      <c r="C410" s="3">
        <v>45246.0</v>
      </c>
      <c r="D410" s="3">
        <v>45258.0</v>
      </c>
      <c r="E410" s="2" t="s">
        <v>38</v>
      </c>
      <c r="F410" s="2">
        <v>3.4</v>
      </c>
      <c r="G410" s="2">
        <v>27.0</v>
      </c>
      <c r="H410" s="2">
        <v>1.0</v>
      </c>
      <c r="I410" s="2">
        <v>27.0</v>
      </c>
      <c r="J410" s="2" t="s">
        <v>32</v>
      </c>
      <c r="K410" s="2" t="s">
        <v>16</v>
      </c>
      <c r="L410" s="2">
        <v>0.0</v>
      </c>
    </row>
    <row r="411">
      <c r="A411" s="2" t="s">
        <v>842</v>
      </c>
      <c r="B411" s="2" t="s">
        <v>843</v>
      </c>
      <c r="C411" s="3">
        <v>45034.0</v>
      </c>
      <c r="D411" s="3">
        <v>45046.0</v>
      </c>
      <c r="E411" s="2" t="s">
        <v>29</v>
      </c>
      <c r="F411" s="2">
        <v>1.1</v>
      </c>
      <c r="G411" s="2">
        <v>99.0</v>
      </c>
      <c r="H411" s="2">
        <v>1.0</v>
      </c>
      <c r="I411" s="2">
        <v>31.0</v>
      </c>
      <c r="J411" s="2" t="s">
        <v>32</v>
      </c>
      <c r="K411" s="2" t="s">
        <v>47</v>
      </c>
      <c r="L411" s="2">
        <v>1.0</v>
      </c>
    </row>
    <row r="412">
      <c r="A412" s="2" t="s">
        <v>844</v>
      </c>
      <c r="B412" s="2" t="s">
        <v>845</v>
      </c>
      <c r="C412" s="3">
        <v>45230.0</v>
      </c>
      <c r="D412" s="3">
        <v>45242.0</v>
      </c>
      <c r="E412" s="2" t="s">
        <v>14</v>
      </c>
      <c r="F412" s="2">
        <v>3.2</v>
      </c>
      <c r="G412" s="2">
        <v>73.0</v>
      </c>
      <c r="H412" s="2">
        <v>1.0</v>
      </c>
      <c r="I412" s="2">
        <v>42.0</v>
      </c>
      <c r="J412" s="2" t="s">
        <v>23</v>
      </c>
      <c r="K412" s="2" t="s">
        <v>47</v>
      </c>
      <c r="L412" s="2">
        <v>1.0</v>
      </c>
    </row>
    <row r="413">
      <c r="A413" s="2" t="s">
        <v>846</v>
      </c>
      <c r="B413" s="2" t="s">
        <v>847</v>
      </c>
      <c r="C413" s="3">
        <v>45237.0</v>
      </c>
      <c r="D413" s="3">
        <v>45249.0</v>
      </c>
      <c r="E413" s="2" t="s">
        <v>22</v>
      </c>
      <c r="F413" s="2">
        <v>0.8</v>
      </c>
      <c r="G413" s="2">
        <v>63.0</v>
      </c>
      <c r="H413" s="2">
        <v>1.0</v>
      </c>
      <c r="I413" s="2">
        <v>25.0</v>
      </c>
      <c r="J413" s="2" t="s">
        <v>35</v>
      </c>
      <c r="K413" s="2" t="s">
        <v>16</v>
      </c>
      <c r="L413" s="2">
        <v>0.0</v>
      </c>
    </row>
    <row r="414">
      <c r="A414" s="2" t="s">
        <v>848</v>
      </c>
      <c r="B414" s="2" t="s">
        <v>849</v>
      </c>
      <c r="C414" s="3">
        <v>45147.0</v>
      </c>
      <c r="D414" s="3">
        <v>45159.0</v>
      </c>
      <c r="E414" s="2" t="s">
        <v>38</v>
      </c>
      <c r="F414" s="2">
        <v>4.1</v>
      </c>
      <c r="G414" s="2">
        <v>57.0</v>
      </c>
      <c r="H414" s="2">
        <v>0.0</v>
      </c>
      <c r="I414" s="2">
        <v>35.0</v>
      </c>
      <c r="J414" s="2" t="s">
        <v>35</v>
      </c>
      <c r="K414" s="2" t="s">
        <v>16</v>
      </c>
      <c r="L414" s="2">
        <v>0.0</v>
      </c>
    </row>
    <row r="415">
      <c r="A415" s="2" t="s">
        <v>850</v>
      </c>
      <c r="B415" s="2" t="s">
        <v>851</v>
      </c>
      <c r="C415" s="3">
        <v>45221.0</v>
      </c>
      <c r="D415" s="3">
        <v>45233.0</v>
      </c>
      <c r="E415" s="2" t="s">
        <v>14</v>
      </c>
      <c r="F415" s="2">
        <v>2.5</v>
      </c>
      <c r="G415" s="2">
        <v>26.0</v>
      </c>
      <c r="H415" s="2">
        <v>1.0</v>
      </c>
      <c r="I415" s="2">
        <v>18.0</v>
      </c>
      <c r="J415" s="2" t="s">
        <v>35</v>
      </c>
      <c r="K415" s="2" t="s">
        <v>47</v>
      </c>
      <c r="L415" s="2">
        <v>1.0</v>
      </c>
    </row>
    <row r="416">
      <c r="A416" s="2" t="s">
        <v>852</v>
      </c>
      <c r="B416" s="2" t="s">
        <v>853</v>
      </c>
      <c r="C416" s="3">
        <v>44963.0</v>
      </c>
      <c r="D416" s="3">
        <v>44975.0</v>
      </c>
      <c r="E416" s="2" t="s">
        <v>14</v>
      </c>
      <c r="F416" s="2">
        <v>3.9</v>
      </c>
      <c r="G416" s="2">
        <v>10.0</v>
      </c>
      <c r="H416" s="2">
        <v>0.0</v>
      </c>
      <c r="I416" s="2">
        <v>40.0</v>
      </c>
      <c r="J416" s="2" t="s">
        <v>19</v>
      </c>
      <c r="K416" s="2" t="s">
        <v>47</v>
      </c>
      <c r="L416" s="2">
        <v>1.0</v>
      </c>
    </row>
    <row r="417">
      <c r="A417" s="2" t="s">
        <v>854</v>
      </c>
      <c r="B417" s="2" t="s">
        <v>855</v>
      </c>
      <c r="C417" s="3">
        <v>44960.0</v>
      </c>
      <c r="D417" s="3">
        <v>44972.0</v>
      </c>
      <c r="E417" s="2" t="s">
        <v>38</v>
      </c>
      <c r="F417" s="2">
        <v>2.2</v>
      </c>
      <c r="G417" s="2">
        <v>32.0</v>
      </c>
      <c r="H417" s="2">
        <v>1.0</v>
      </c>
      <c r="I417" s="2">
        <v>23.0</v>
      </c>
      <c r="J417" s="2" t="s">
        <v>23</v>
      </c>
      <c r="K417" s="2" t="s">
        <v>26</v>
      </c>
      <c r="L417" s="2">
        <v>0.0</v>
      </c>
    </row>
    <row r="418">
      <c r="A418" s="2" t="s">
        <v>856</v>
      </c>
      <c r="B418" s="2" t="s">
        <v>857</v>
      </c>
      <c r="C418" s="3">
        <v>45026.0</v>
      </c>
      <c r="D418" s="3">
        <v>45038.0</v>
      </c>
      <c r="E418" s="2" t="s">
        <v>22</v>
      </c>
      <c r="F418" s="2">
        <v>3.5</v>
      </c>
      <c r="G418" s="2">
        <v>17.0</v>
      </c>
      <c r="H418" s="2">
        <v>1.0</v>
      </c>
      <c r="I418" s="2">
        <v>49.0</v>
      </c>
      <c r="J418" s="2" t="s">
        <v>19</v>
      </c>
      <c r="K418" s="2" t="s">
        <v>47</v>
      </c>
      <c r="L418" s="2">
        <v>0.0</v>
      </c>
    </row>
    <row r="419">
      <c r="A419" s="2" t="s">
        <v>858</v>
      </c>
      <c r="B419" s="2" t="s">
        <v>859</v>
      </c>
      <c r="C419" s="3">
        <v>45032.0</v>
      </c>
      <c r="D419" s="3">
        <v>45044.0</v>
      </c>
      <c r="E419" s="2" t="s">
        <v>22</v>
      </c>
      <c r="F419" s="2">
        <v>2.0</v>
      </c>
      <c r="G419" s="2">
        <v>38.0</v>
      </c>
      <c r="H419" s="2">
        <v>0.0</v>
      </c>
      <c r="I419" s="2">
        <v>13.0</v>
      </c>
      <c r="J419" s="2" t="s">
        <v>19</v>
      </c>
      <c r="K419" s="2" t="s">
        <v>47</v>
      </c>
      <c r="L419" s="2">
        <v>0.0</v>
      </c>
    </row>
    <row r="420">
      <c r="A420" s="2" t="s">
        <v>860</v>
      </c>
      <c r="B420" s="2" t="s">
        <v>861</v>
      </c>
      <c r="C420" s="3">
        <v>45045.0</v>
      </c>
      <c r="D420" s="3">
        <v>45057.0</v>
      </c>
      <c r="E420" s="2" t="s">
        <v>14</v>
      </c>
      <c r="F420" s="2">
        <v>4.9</v>
      </c>
      <c r="G420" s="2">
        <v>14.0</v>
      </c>
      <c r="H420" s="2">
        <v>1.0</v>
      </c>
      <c r="I420" s="2">
        <v>32.0</v>
      </c>
      <c r="J420" s="2" t="s">
        <v>15</v>
      </c>
      <c r="K420" s="2" t="s">
        <v>16</v>
      </c>
      <c r="L420" s="2">
        <v>1.0</v>
      </c>
    </row>
    <row r="421">
      <c r="A421" s="2" t="s">
        <v>862</v>
      </c>
      <c r="B421" s="2" t="s">
        <v>863</v>
      </c>
      <c r="C421" s="3">
        <v>44953.0</v>
      </c>
      <c r="D421" s="3">
        <v>44965.0</v>
      </c>
      <c r="E421" s="2" t="s">
        <v>38</v>
      </c>
      <c r="F421" s="2">
        <v>0.6</v>
      </c>
      <c r="G421" s="2">
        <v>76.0</v>
      </c>
      <c r="H421" s="2">
        <v>0.0</v>
      </c>
      <c r="I421" s="2">
        <v>22.0</v>
      </c>
      <c r="J421" s="2" t="s">
        <v>19</v>
      </c>
      <c r="K421" s="2" t="s">
        <v>26</v>
      </c>
      <c r="L421" s="2">
        <v>0.0</v>
      </c>
    </row>
    <row r="422">
      <c r="A422" s="2" t="s">
        <v>864</v>
      </c>
      <c r="B422" s="2" t="s">
        <v>865</v>
      </c>
      <c r="C422" s="3">
        <v>45229.0</v>
      </c>
      <c r="D422" s="3">
        <v>45241.0</v>
      </c>
      <c r="E422" s="2" t="s">
        <v>22</v>
      </c>
      <c r="F422" s="2">
        <v>2.8</v>
      </c>
      <c r="G422" s="2">
        <v>42.0</v>
      </c>
      <c r="H422" s="2">
        <v>1.0</v>
      </c>
      <c r="I422" s="2">
        <v>38.0</v>
      </c>
      <c r="J422" s="2" t="s">
        <v>15</v>
      </c>
      <c r="K422" s="2" t="s">
        <v>16</v>
      </c>
      <c r="L422" s="2">
        <v>0.0</v>
      </c>
    </row>
    <row r="423">
      <c r="A423" s="2" t="s">
        <v>866</v>
      </c>
      <c r="B423" s="2" t="s">
        <v>867</v>
      </c>
      <c r="C423" s="3">
        <v>44945.0</v>
      </c>
      <c r="D423" s="3">
        <v>44957.0</v>
      </c>
      <c r="E423" s="2" t="s">
        <v>29</v>
      </c>
      <c r="F423" s="2">
        <v>4.2</v>
      </c>
      <c r="G423" s="2">
        <v>68.0</v>
      </c>
      <c r="H423" s="2">
        <v>1.0</v>
      </c>
      <c r="I423" s="2">
        <v>36.0</v>
      </c>
      <c r="J423" s="2" t="s">
        <v>19</v>
      </c>
      <c r="K423" s="2" t="s">
        <v>16</v>
      </c>
      <c r="L423" s="2">
        <v>1.0</v>
      </c>
    </row>
    <row r="424">
      <c r="A424" s="2" t="s">
        <v>868</v>
      </c>
      <c r="B424" s="2" t="s">
        <v>869</v>
      </c>
      <c r="C424" s="3">
        <v>45143.0</v>
      </c>
      <c r="D424" s="3">
        <v>45155.0</v>
      </c>
      <c r="E424" s="2" t="s">
        <v>38</v>
      </c>
      <c r="F424" s="2">
        <v>0.7</v>
      </c>
      <c r="G424" s="2">
        <v>81.0</v>
      </c>
      <c r="H424" s="2">
        <v>1.0</v>
      </c>
      <c r="I424" s="2">
        <v>53.0</v>
      </c>
      <c r="J424" s="2" t="s">
        <v>23</v>
      </c>
      <c r="K424" s="2" t="s">
        <v>16</v>
      </c>
      <c r="L424" s="2">
        <v>1.0</v>
      </c>
    </row>
    <row r="425">
      <c r="A425" s="2" t="s">
        <v>870</v>
      </c>
      <c r="B425" s="2" t="s">
        <v>871</v>
      </c>
      <c r="C425" s="3">
        <v>45271.0</v>
      </c>
      <c r="D425" s="3">
        <v>45283.0</v>
      </c>
      <c r="E425" s="2" t="s">
        <v>22</v>
      </c>
      <c r="F425" s="2">
        <v>2.6</v>
      </c>
      <c r="G425" s="2">
        <v>87.0</v>
      </c>
      <c r="H425" s="2">
        <v>1.0</v>
      </c>
      <c r="I425" s="2">
        <v>50.0</v>
      </c>
      <c r="J425" s="2" t="s">
        <v>23</v>
      </c>
      <c r="K425" s="2" t="s">
        <v>26</v>
      </c>
      <c r="L425" s="2">
        <v>1.0</v>
      </c>
    </row>
    <row r="426">
      <c r="A426" s="2" t="s">
        <v>872</v>
      </c>
      <c r="B426" s="2" t="s">
        <v>873</v>
      </c>
      <c r="C426" s="3">
        <v>45147.0</v>
      </c>
      <c r="D426" s="3">
        <v>45159.0</v>
      </c>
      <c r="E426" s="2" t="s">
        <v>22</v>
      </c>
      <c r="F426" s="2">
        <v>4.8</v>
      </c>
      <c r="G426" s="2">
        <v>2.0</v>
      </c>
      <c r="H426" s="2">
        <v>1.0</v>
      </c>
      <c r="I426" s="2">
        <v>37.0</v>
      </c>
      <c r="J426" s="2" t="s">
        <v>15</v>
      </c>
      <c r="K426" s="2" t="s">
        <v>26</v>
      </c>
      <c r="L426" s="2">
        <v>1.0</v>
      </c>
    </row>
    <row r="427">
      <c r="A427" s="2" t="s">
        <v>874</v>
      </c>
      <c r="B427" s="2" t="s">
        <v>875</v>
      </c>
      <c r="C427" s="3">
        <v>44968.0</v>
      </c>
      <c r="D427" s="3">
        <v>44980.0</v>
      </c>
      <c r="E427" s="2" t="s">
        <v>38</v>
      </c>
      <c r="F427" s="2">
        <v>1.7</v>
      </c>
      <c r="G427" s="2">
        <v>9.0</v>
      </c>
      <c r="H427" s="2">
        <v>0.0</v>
      </c>
      <c r="I427" s="2">
        <v>34.0</v>
      </c>
      <c r="J427" s="2" t="s">
        <v>19</v>
      </c>
      <c r="K427" s="2" t="s">
        <v>47</v>
      </c>
      <c r="L427" s="2">
        <v>1.0</v>
      </c>
    </row>
    <row r="428">
      <c r="A428" s="2" t="s">
        <v>876</v>
      </c>
      <c r="B428" s="2" t="s">
        <v>877</v>
      </c>
      <c r="C428" s="3">
        <v>45202.0</v>
      </c>
      <c r="D428" s="3">
        <v>45214.0</v>
      </c>
      <c r="E428" s="2" t="s">
        <v>14</v>
      </c>
      <c r="F428" s="2">
        <v>1.5</v>
      </c>
      <c r="G428" s="2">
        <v>19.0</v>
      </c>
      <c r="H428" s="2">
        <v>1.0</v>
      </c>
      <c r="I428" s="2">
        <v>20.0</v>
      </c>
      <c r="J428" s="2" t="s">
        <v>23</v>
      </c>
      <c r="K428" s="2" t="s">
        <v>26</v>
      </c>
      <c r="L428" s="2">
        <v>0.0</v>
      </c>
    </row>
    <row r="429">
      <c r="A429" s="2" t="s">
        <v>878</v>
      </c>
      <c r="B429" s="2" t="s">
        <v>879</v>
      </c>
      <c r="C429" s="3">
        <v>45185.0</v>
      </c>
      <c r="D429" s="3">
        <v>45197.0</v>
      </c>
      <c r="E429" s="2" t="s">
        <v>29</v>
      </c>
      <c r="F429" s="2">
        <v>0.9</v>
      </c>
      <c r="G429" s="2">
        <v>74.0</v>
      </c>
      <c r="H429" s="2">
        <v>1.0</v>
      </c>
      <c r="I429" s="2">
        <v>47.0</v>
      </c>
      <c r="J429" s="2" t="s">
        <v>19</v>
      </c>
      <c r="K429" s="2" t="s">
        <v>16</v>
      </c>
      <c r="L429" s="2">
        <v>1.0</v>
      </c>
    </row>
    <row r="430">
      <c r="A430" s="2" t="s">
        <v>880</v>
      </c>
      <c r="B430" s="2" t="s">
        <v>881</v>
      </c>
      <c r="C430" s="3">
        <v>45225.0</v>
      </c>
      <c r="D430" s="3">
        <v>45237.0</v>
      </c>
      <c r="E430" s="2" t="s">
        <v>22</v>
      </c>
      <c r="F430" s="2">
        <v>2.9</v>
      </c>
      <c r="G430" s="2">
        <v>95.0</v>
      </c>
      <c r="H430" s="2">
        <v>0.0</v>
      </c>
      <c r="I430" s="2">
        <v>48.0</v>
      </c>
      <c r="J430" s="2" t="s">
        <v>23</v>
      </c>
      <c r="K430" s="2" t="s">
        <v>47</v>
      </c>
      <c r="L430" s="2">
        <v>0.0</v>
      </c>
    </row>
    <row r="431">
      <c r="A431" s="2" t="s">
        <v>882</v>
      </c>
      <c r="B431" s="2" t="s">
        <v>883</v>
      </c>
      <c r="C431" s="3">
        <v>44976.0</v>
      </c>
      <c r="D431" s="3">
        <v>44988.0</v>
      </c>
      <c r="E431" s="2" t="s">
        <v>22</v>
      </c>
      <c r="F431" s="2">
        <v>1.9</v>
      </c>
      <c r="G431" s="2">
        <v>88.0</v>
      </c>
      <c r="H431" s="2">
        <v>1.0</v>
      </c>
      <c r="I431" s="2">
        <v>54.0</v>
      </c>
      <c r="J431" s="2" t="s">
        <v>35</v>
      </c>
      <c r="K431" s="2" t="s">
        <v>26</v>
      </c>
      <c r="L431" s="2">
        <v>1.0</v>
      </c>
    </row>
    <row r="432">
      <c r="A432" s="2" t="s">
        <v>884</v>
      </c>
      <c r="B432" s="2" t="s">
        <v>885</v>
      </c>
      <c r="C432" s="3">
        <v>45177.0</v>
      </c>
      <c r="D432" s="3">
        <v>45189.0</v>
      </c>
      <c r="E432" s="2" t="s">
        <v>14</v>
      </c>
      <c r="F432" s="2">
        <v>2.3</v>
      </c>
      <c r="G432" s="2">
        <v>41.0</v>
      </c>
      <c r="H432" s="2">
        <v>0.0</v>
      </c>
      <c r="I432" s="2">
        <v>46.0</v>
      </c>
      <c r="J432" s="2" t="s">
        <v>35</v>
      </c>
      <c r="K432" s="2" t="s">
        <v>26</v>
      </c>
      <c r="L432" s="2">
        <v>1.0</v>
      </c>
    </row>
    <row r="433">
      <c r="A433" s="2" t="s">
        <v>886</v>
      </c>
      <c r="B433" s="2" t="s">
        <v>887</v>
      </c>
      <c r="C433" s="3">
        <v>45084.0</v>
      </c>
      <c r="D433" s="3">
        <v>45096.0</v>
      </c>
      <c r="E433" s="2" t="s">
        <v>22</v>
      </c>
      <c r="F433" s="2">
        <v>1.8</v>
      </c>
      <c r="G433" s="2">
        <v>18.0</v>
      </c>
      <c r="H433" s="2">
        <v>0.0</v>
      </c>
      <c r="I433" s="2">
        <v>12.0</v>
      </c>
      <c r="J433" s="2" t="s">
        <v>19</v>
      </c>
      <c r="K433" s="2" t="s">
        <v>16</v>
      </c>
      <c r="L433" s="2">
        <v>1.0</v>
      </c>
    </row>
    <row r="434">
      <c r="A434" s="2" t="s">
        <v>888</v>
      </c>
      <c r="B434" s="2" t="s">
        <v>889</v>
      </c>
      <c r="C434" s="3">
        <v>45204.0</v>
      </c>
      <c r="D434" s="3">
        <v>45216.0</v>
      </c>
      <c r="E434" s="2" t="s">
        <v>38</v>
      </c>
      <c r="F434" s="2">
        <v>0.1</v>
      </c>
      <c r="G434" s="2">
        <v>37.0</v>
      </c>
      <c r="H434" s="2">
        <v>1.0</v>
      </c>
      <c r="I434" s="2">
        <v>14.0</v>
      </c>
      <c r="J434" s="2" t="s">
        <v>32</v>
      </c>
      <c r="K434" s="2" t="s">
        <v>47</v>
      </c>
      <c r="L434" s="2">
        <v>1.0</v>
      </c>
    </row>
    <row r="435">
      <c r="A435" s="2" t="s">
        <v>890</v>
      </c>
      <c r="B435" s="2" t="s">
        <v>891</v>
      </c>
      <c r="C435" s="3">
        <v>45136.0</v>
      </c>
      <c r="D435" s="3">
        <v>45148.0</v>
      </c>
      <c r="E435" s="2" t="s">
        <v>38</v>
      </c>
      <c r="F435" s="2">
        <v>1.3</v>
      </c>
      <c r="G435" s="2">
        <v>8.0</v>
      </c>
      <c r="H435" s="2">
        <v>1.0</v>
      </c>
      <c r="I435" s="2">
        <v>15.0</v>
      </c>
      <c r="J435" s="2" t="s">
        <v>19</v>
      </c>
      <c r="K435" s="2" t="s">
        <v>26</v>
      </c>
      <c r="L435" s="2">
        <v>1.0</v>
      </c>
    </row>
    <row r="436">
      <c r="A436" s="2" t="s">
        <v>892</v>
      </c>
      <c r="B436" s="2" t="s">
        <v>893</v>
      </c>
      <c r="C436" s="3">
        <v>45272.0</v>
      </c>
      <c r="D436" s="3">
        <v>45284.0</v>
      </c>
      <c r="E436" s="2" t="s">
        <v>29</v>
      </c>
      <c r="F436" s="2">
        <v>3.6</v>
      </c>
      <c r="G436" s="2">
        <v>82.0</v>
      </c>
      <c r="H436" s="2">
        <v>1.0</v>
      </c>
      <c r="I436" s="2">
        <v>33.0</v>
      </c>
      <c r="J436" s="2" t="s">
        <v>23</v>
      </c>
      <c r="K436" s="2" t="s">
        <v>47</v>
      </c>
      <c r="L436" s="2">
        <v>1.0</v>
      </c>
    </row>
    <row r="437">
      <c r="A437" s="2" t="s">
        <v>894</v>
      </c>
      <c r="B437" s="2" t="s">
        <v>895</v>
      </c>
      <c r="C437" s="3">
        <v>45005.0</v>
      </c>
      <c r="D437" s="3">
        <v>45017.0</v>
      </c>
      <c r="E437" s="2" t="s">
        <v>29</v>
      </c>
      <c r="F437" s="2">
        <v>0.2</v>
      </c>
      <c r="G437" s="2">
        <v>39.0</v>
      </c>
      <c r="H437" s="2">
        <v>0.0</v>
      </c>
      <c r="I437" s="2">
        <v>30.0</v>
      </c>
      <c r="J437" s="2" t="s">
        <v>32</v>
      </c>
      <c r="K437" s="2" t="s">
        <v>16</v>
      </c>
      <c r="L437" s="2">
        <v>1.0</v>
      </c>
    </row>
    <row r="438">
      <c r="A438" s="2" t="s">
        <v>896</v>
      </c>
      <c r="B438" s="2" t="s">
        <v>897</v>
      </c>
      <c r="C438" s="3">
        <v>45013.0</v>
      </c>
      <c r="D438" s="3">
        <v>45025.0</v>
      </c>
      <c r="E438" s="2" t="s">
        <v>38</v>
      </c>
      <c r="F438" s="2">
        <v>1.0</v>
      </c>
      <c r="G438" s="2">
        <v>35.0</v>
      </c>
      <c r="H438" s="2">
        <v>0.0</v>
      </c>
      <c r="I438" s="2">
        <v>43.0</v>
      </c>
      <c r="J438" s="2" t="s">
        <v>32</v>
      </c>
      <c r="K438" s="2" t="s">
        <v>47</v>
      </c>
      <c r="L438" s="2">
        <v>1.0</v>
      </c>
    </row>
    <row r="439">
      <c r="A439" s="2" t="s">
        <v>898</v>
      </c>
      <c r="B439" s="2" t="s">
        <v>899</v>
      </c>
      <c r="C439" s="3">
        <v>45134.0</v>
      </c>
      <c r="D439" s="3">
        <v>45146.0</v>
      </c>
      <c r="E439" s="2" t="s">
        <v>14</v>
      </c>
      <c r="F439" s="2">
        <v>0.3</v>
      </c>
      <c r="G439" s="2">
        <v>54.0</v>
      </c>
      <c r="H439" s="2">
        <v>1.0</v>
      </c>
      <c r="I439" s="2">
        <v>16.0</v>
      </c>
      <c r="J439" s="2" t="s">
        <v>19</v>
      </c>
      <c r="K439" s="2" t="s">
        <v>47</v>
      </c>
      <c r="L439" s="2">
        <v>1.0</v>
      </c>
    </row>
    <row r="440">
      <c r="A440" s="2" t="s">
        <v>900</v>
      </c>
      <c r="B440" s="2" t="s">
        <v>901</v>
      </c>
      <c r="C440" s="3">
        <v>45169.0</v>
      </c>
      <c r="D440" s="3">
        <v>45181.0</v>
      </c>
      <c r="E440" s="2" t="s">
        <v>22</v>
      </c>
      <c r="F440" s="2">
        <v>1.6</v>
      </c>
      <c r="G440" s="2">
        <v>46.0</v>
      </c>
      <c r="H440" s="2">
        <v>0.0</v>
      </c>
      <c r="I440" s="2">
        <v>45.0</v>
      </c>
      <c r="J440" s="2" t="s">
        <v>15</v>
      </c>
      <c r="K440" s="2" t="s">
        <v>47</v>
      </c>
      <c r="L440" s="2">
        <v>1.0</v>
      </c>
    </row>
    <row r="441">
      <c r="A441" s="2" t="s">
        <v>902</v>
      </c>
      <c r="B441" s="2" t="s">
        <v>903</v>
      </c>
      <c r="C441" s="3">
        <v>45237.0</v>
      </c>
      <c r="D441" s="3">
        <v>45249.0</v>
      </c>
      <c r="E441" s="2" t="s">
        <v>29</v>
      </c>
      <c r="F441" s="2">
        <v>3.7</v>
      </c>
      <c r="G441" s="2">
        <v>5.0</v>
      </c>
      <c r="H441" s="2">
        <v>1.0</v>
      </c>
      <c r="I441" s="2">
        <v>21.0</v>
      </c>
      <c r="J441" s="2" t="s">
        <v>23</v>
      </c>
      <c r="K441" s="2" t="s">
        <v>47</v>
      </c>
      <c r="L441" s="2">
        <v>1.0</v>
      </c>
    </row>
    <row r="442">
      <c r="A442" s="2" t="s">
        <v>904</v>
      </c>
      <c r="B442" s="2" t="s">
        <v>905</v>
      </c>
      <c r="C442" s="3">
        <v>45207.0</v>
      </c>
      <c r="D442" s="3">
        <v>45219.0</v>
      </c>
      <c r="E442" s="2" t="s">
        <v>38</v>
      </c>
      <c r="F442" s="2">
        <v>1.4</v>
      </c>
      <c r="G442" s="2">
        <v>78.0</v>
      </c>
      <c r="H442" s="2">
        <v>1.0</v>
      </c>
      <c r="I442" s="2">
        <v>41.0</v>
      </c>
      <c r="J442" s="2" t="s">
        <v>35</v>
      </c>
      <c r="K442" s="2" t="s">
        <v>47</v>
      </c>
      <c r="L442" s="2">
        <v>1.0</v>
      </c>
    </row>
    <row r="443">
      <c r="A443" s="2" t="s">
        <v>906</v>
      </c>
      <c r="B443" s="2" t="s">
        <v>907</v>
      </c>
      <c r="C443" s="3">
        <v>45252.0</v>
      </c>
      <c r="D443" s="3">
        <v>45264.0</v>
      </c>
      <c r="E443" s="2" t="s">
        <v>22</v>
      </c>
      <c r="F443" s="2">
        <v>4.6</v>
      </c>
      <c r="G443" s="2">
        <v>62.0</v>
      </c>
      <c r="H443" s="2">
        <v>0.0</v>
      </c>
      <c r="I443" s="2">
        <v>28.0</v>
      </c>
      <c r="J443" s="2" t="s">
        <v>32</v>
      </c>
      <c r="K443" s="2" t="s">
        <v>16</v>
      </c>
      <c r="L443" s="2">
        <v>1.0</v>
      </c>
    </row>
    <row r="444">
      <c r="A444" s="2" t="s">
        <v>908</v>
      </c>
      <c r="B444" s="2" t="s">
        <v>909</v>
      </c>
      <c r="C444" s="3">
        <v>45162.0</v>
      </c>
      <c r="D444" s="3">
        <v>45174.0</v>
      </c>
      <c r="E444" s="2" t="s">
        <v>29</v>
      </c>
      <c r="F444" s="2">
        <v>4.7</v>
      </c>
      <c r="G444" s="2">
        <v>6.0</v>
      </c>
      <c r="H444" s="2">
        <v>1.0</v>
      </c>
      <c r="I444" s="2">
        <v>17.0</v>
      </c>
      <c r="J444" s="2" t="s">
        <v>15</v>
      </c>
      <c r="K444" s="2" t="s">
        <v>16</v>
      </c>
      <c r="L444" s="2">
        <v>1.0</v>
      </c>
    </row>
    <row r="445">
      <c r="A445" s="2" t="s">
        <v>910</v>
      </c>
      <c r="B445" s="2" t="s">
        <v>911</v>
      </c>
      <c r="C445" s="3">
        <v>44933.0</v>
      </c>
      <c r="D445" s="3">
        <v>44945.0</v>
      </c>
      <c r="E445" s="2" t="s">
        <v>29</v>
      </c>
      <c r="F445" s="2">
        <v>3.0</v>
      </c>
      <c r="G445" s="2">
        <v>69.0</v>
      </c>
      <c r="H445" s="2">
        <v>0.0</v>
      </c>
      <c r="I445" s="2">
        <v>24.0</v>
      </c>
      <c r="J445" s="2" t="s">
        <v>19</v>
      </c>
      <c r="K445" s="2" t="s">
        <v>26</v>
      </c>
      <c r="L445" s="2">
        <v>0.0</v>
      </c>
    </row>
    <row r="446">
      <c r="A446" s="2" t="s">
        <v>912</v>
      </c>
      <c r="B446" s="2" t="s">
        <v>913</v>
      </c>
      <c r="C446" s="3">
        <v>44988.0</v>
      </c>
      <c r="D446" s="3">
        <v>45000.0</v>
      </c>
      <c r="E446" s="2" t="s">
        <v>29</v>
      </c>
      <c r="F446" s="2">
        <v>3.1</v>
      </c>
      <c r="G446" s="2">
        <v>92.0</v>
      </c>
      <c r="H446" s="2">
        <v>1.0</v>
      </c>
      <c r="I446" s="2">
        <v>26.0</v>
      </c>
      <c r="J446" s="2" t="s">
        <v>32</v>
      </c>
      <c r="K446" s="2" t="s">
        <v>16</v>
      </c>
      <c r="L446" s="2">
        <v>1.0</v>
      </c>
    </row>
    <row r="447">
      <c r="A447" s="2" t="s">
        <v>914</v>
      </c>
      <c r="B447" s="2" t="s">
        <v>915</v>
      </c>
      <c r="C447" s="3">
        <v>44968.0</v>
      </c>
      <c r="D447" s="3">
        <v>44980.0</v>
      </c>
      <c r="E447" s="2" t="s">
        <v>22</v>
      </c>
      <c r="F447" s="2">
        <v>3.3</v>
      </c>
      <c r="G447" s="2">
        <v>45.0</v>
      </c>
      <c r="H447" s="2">
        <v>1.0</v>
      </c>
      <c r="I447" s="2">
        <v>56.0</v>
      </c>
      <c r="J447" s="2" t="s">
        <v>19</v>
      </c>
      <c r="K447" s="2" t="s">
        <v>26</v>
      </c>
      <c r="L447" s="2">
        <v>1.0</v>
      </c>
    </row>
    <row r="448">
      <c r="A448" s="2" t="s">
        <v>916</v>
      </c>
      <c r="B448" s="2" t="s">
        <v>917</v>
      </c>
      <c r="C448" s="3">
        <v>45115.0</v>
      </c>
      <c r="D448" s="3">
        <v>45127.0</v>
      </c>
      <c r="E448" s="2" t="s">
        <v>14</v>
      </c>
      <c r="F448" s="2">
        <v>4.0</v>
      </c>
      <c r="G448" s="2">
        <v>31.0</v>
      </c>
      <c r="H448" s="2">
        <v>1.0</v>
      </c>
      <c r="I448" s="2">
        <v>19.0</v>
      </c>
      <c r="J448" s="2" t="s">
        <v>32</v>
      </c>
      <c r="K448" s="2" t="s">
        <v>47</v>
      </c>
      <c r="L448" s="2">
        <v>1.0</v>
      </c>
    </row>
    <row r="449">
      <c r="A449" s="2" t="s">
        <v>918</v>
      </c>
      <c r="B449" s="2" t="s">
        <v>919</v>
      </c>
      <c r="C449" s="3">
        <v>45034.0</v>
      </c>
      <c r="D449" s="3">
        <v>45046.0</v>
      </c>
      <c r="E449" s="2" t="s">
        <v>29</v>
      </c>
      <c r="F449" s="2">
        <v>4.5</v>
      </c>
      <c r="G449" s="2">
        <v>13.0</v>
      </c>
      <c r="H449" s="2">
        <v>1.0</v>
      </c>
      <c r="I449" s="2">
        <v>29.0</v>
      </c>
      <c r="J449" s="2" t="s">
        <v>23</v>
      </c>
      <c r="K449" s="2" t="s">
        <v>16</v>
      </c>
      <c r="L449" s="2">
        <v>1.0</v>
      </c>
    </row>
    <row r="450">
      <c r="A450" s="2" t="s">
        <v>920</v>
      </c>
      <c r="B450" s="2" t="s">
        <v>921</v>
      </c>
      <c r="C450" s="3">
        <v>45102.0</v>
      </c>
      <c r="D450" s="3">
        <v>45114.0</v>
      </c>
      <c r="E450" s="2" t="s">
        <v>22</v>
      </c>
      <c r="F450" s="2">
        <v>0.0</v>
      </c>
      <c r="G450" s="2">
        <v>83.0</v>
      </c>
      <c r="H450" s="2">
        <v>1.0</v>
      </c>
      <c r="I450" s="2">
        <v>44.0</v>
      </c>
      <c r="J450" s="2" t="s">
        <v>35</v>
      </c>
      <c r="K450" s="2" t="s">
        <v>47</v>
      </c>
      <c r="L450" s="2">
        <v>1.0</v>
      </c>
    </row>
    <row r="451">
      <c r="A451" s="2" t="s">
        <v>922</v>
      </c>
      <c r="B451" s="2" t="s">
        <v>923</v>
      </c>
      <c r="C451" s="3">
        <v>45067.0</v>
      </c>
      <c r="D451" s="3">
        <v>45079.0</v>
      </c>
      <c r="E451" s="2" t="s">
        <v>38</v>
      </c>
      <c r="F451" s="2">
        <v>2.7</v>
      </c>
      <c r="G451" s="2">
        <v>11.0</v>
      </c>
      <c r="H451" s="2">
        <v>1.0</v>
      </c>
      <c r="I451" s="2">
        <v>51.0</v>
      </c>
      <c r="J451" s="2" t="s">
        <v>19</v>
      </c>
      <c r="K451" s="2" t="s">
        <v>26</v>
      </c>
      <c r="L451" s="2">
        <v>1.0</v>
      </c>
    </row>
    <row r="452">
      <c r="A452" s="2" t="s">
        <v>924</v>
      </c>
      <c r="B452" s="2" t="s">
        <v>925</v>
      </c>
      <c r="C452" s="3">
        <v>45228.0</v>
      </c>
      <c r="D452" s="3">
        <v>45240.0</v>
      </c>
      <c r="E452" s="2" t="s">
        <v>29</v>
      </c>
      <c r="F452" s="2">
        <v>0.5</v>
      </c>
      <c r="G452" s="2">
        <v>65.0</v>
      </c>
      <c r="H452" s="2">
        <v>1.0</v>
      </c>
      <c r="I452" s="2">
        <v>44.0</v>
      </c>
      <c r="J452" s="2" t="s">
        <v>32</v>
      </c>
      <c r="K452" s="2" t="s">
        <v>16</v>
      </c>
      <c r="L452" s="2">
        <v>1.0</v>
      </c>
    </row>
    <row r="453">
      <c r="A453" s="2" t="s">
        <v>926</v>
      </c>
      <c r="B453" s="2" t="s">
        <v>927</v>
      </c>
      <c r="C453" s="3">
        <v>44964.0</v>
      </c>
      <c r="D453" s="3">
        <v>44976.0</v>
      </c>
      <c r="E453" s="2" t="s">
        <v>29</v>
      </c>
      <c r="F453" s="2">
        <v>1.2</v>
      </c>
      <c r="G453" s="2">
        <v>30.0</v>
      </c>
      <c r="H453" s="2">
        <v>1.0</v>
      </c>
      <c r="I453" s="2">
        <v>46.0</v>
      </c>
      <c r="J453" s="2" t="s">
        <v>15</v>
      </c>
      <c r="K453" s="2" t="s">
        <v>16</v>
      </c>
      <c r="L453" s="2">
        <v>0.0</v>
      </c>
    </row>
    <row r="454">
      <c r="A454" s="2" t="s">
        <v>928</v>
      </c>
      <c r="B454" s="2" t="s">
        <v>929</v>
      </c>
      <c r="C454" s="3">
        <v>45265.0</v>
      </c>
      <c r="D454" s="3">
        <v>45277.0</v>
      </c>
      <c r="E454" s="2" t="s">
        <v>29</v>
      </c>
      <c r="F454" s="2">
        <v>2.4</v>
      </c>
      <c r="G454" s="2">
        <v>59.0</v>
      </c>
      <c r="H454" s="2">
        <v>0.0</v>
      </c>
      <c r="I454" s="2">
        <v>17.0</v>
      </c>
      <c r="J454" s="2" t="s">
        <v>32</v>
      </c>
      <c r="K454" s="2" t="s">
        <v>26</v>
      </c>
      <c r="L454" s="2">
        <v>1.0</v>
      </c>
    </row>
    <row r="455">
      <c r="A455" s="2" t="s">
        <v>930</v>
      </c>
      <c r="B455" s="2" t="s">
        <v>931</v>
      </c>
      <c r="C455" s="3">
        <v>45127.0</v>
      </c>
      <c r="D455" s="3">
        <v>45139.0</v>
      </c>
      <c r="E455" s="2" t="s">
        <v>38</v>
      </c>
      <c r="F455" s="2">
        <v>4.3</v>
      </c>
      <c r="G455" s="2">
        <v>100.0</v>
      </c>
      <c r="H455" s="2">
        <v>0.0</v>
      </c>
      <c r="I455" s="2">
        <v>25.0</v>
      </c>
      <c r="J455" s="2" t="s">
        <v>32</v>
      </c>
      <c r="K455" s="2" t="s">
        <v>26</v>
      </c>
      <c r="L455" s="2">
        <v>0.0</v>
      </c>
    </row>
    <row r="456">
      <c r="A456" s="2" t="s">
        <v>932</v>
      </c>
      <c r="B456" s="2" t="s">
        <v>933</v>
      </c>
      <c r="C456" s="3">
        <v>45236.0</v>
      </c>
      <c r="D456" s="3">
        <v>45248.0</v>
      </c>
      <c r="E456" s="2" t="s">
        <v>14</v>
      </c>
      <c r="F456" s="2">
        <v>4.4</v>
      </c>
      <c r="G456" s="2">
        <v>89.0</v>
      </c>
      <c r="H456" s="2">
        <v>0.0</v>
      </c>
      <c r="I456" s="2">
        <v>50.0</v>
      </c>
      <c r="J456" s="2" t="s">
        <v>35</v>
      </c>
      <c r="K456" s="2" t="s">
        <v>16</v>
      </c>
      <c r="L456" s="2">
        <v>1.0</v>
      </c>
    </row>
    <row r="457">
      <c r="A457" s="2" t="s">
        <v>934</v>
      </c>
      <c r="B457" s="2" t="s">
        <v>935</v>
      </c>
      <c r="C457" s="3">
        <v>44967.0</v>
      </c>
      <c r="D457" s="3">
        <v>44979.0</v>
      </c>
      <c r="E457" s="2" t="s">
        <v>14</v>
      </c>
      <c r="F457" s="2">
        <v>3.8</v>
      </c>
      <c r="G457" s="2">
        <v>84.0</v>
      </c>
      <c r="H457" s="2">
        <v>0.0</v>
      </c>
      <c r="I457" s="2">
        <v>36.0</v>
      </c>
      <c r="J457" s="2" t="s">
        <v>15</v>
      </c>
      <c r="K457" s="2" t="s">
        <v>16</v>
      </c>
      <c r="L457" s="2">
        <v>1.0</v>
      </c>
    </row>
    <row r="458">
      <c r="A458" s="2" t="s">
        <v>936</v>
      </c>
      <c r="B458" s="2" t="s">
        <v>937</v>
      </c>
      <c r="C458" s="3">
        <v>45183.0</v>
      </c>
      <c r="D458" s="3">
        <v>45195.0</v>
      </c>
      <c r="E458" s="2" t="s">
        <v>38</v>
      </c>
      <c r="F458" s="2">
        <v>5.0</v>
      </c>
      <c r="G458" s="2">
        <v>53.0</v>
      </c>
      <c r="H458" s="2">
        <v>1.0</v>
      </c>
      <c r="I458" s="2">
        <v>18.0</v>
      </c>
      <c r="J458" s="2" t="s">
        <v>15</v>
      </c>
      <c r="K458" s="2" t="s">
        <v>26</v>
      </c>
      <c r="L458" s="2">
        <v>1.0</v>
      </c>
    </row>
    <row r="459">
      <c r="A459" s="2" t="s">
        <v>938</v>
      </c>
      <c r="B459" s="2" t="s">
        <v>939</v>
      </c>
      <c r="C459" s="3">
        <v>45215.0</v>
      </c>
      <c r="D459" s="3">
        <v>45227.0</v>
      </c>
      <c r="E459" s="2" t="s">
        <v>38</v>
      </c>
      <c r="F459" s="2">
        <v>2.1</v>
      </c>
      <c r="G459" s="2">
        <v>0.0</v>
      </c>
      <c r="H459" s="2">
        <v>0.0</v>
      </c>
      <c r="I459" s="2">
        <v>28.0</v>
      </c>
      <c r="J459" s="2" t="s">
        <v>15</v>
      </c>
      <c r="K459" s="2" t="s">
        <v>26</v>
      </c>
      <c r="L459" s="2">
        <v>1.0</v>
      </c>
    </row>
    <row r="460">
      <c r="A460" s="2" t="s">
        <v>940</v>
      </c>
      <c r="B460" s="2" t="s">
        <v>941</v>
      </c>
      <c r="C460" s="3">
        <v>45171.0</v>
      </c>
      <c r="D460" s="3">
        <v>45183.0</v>
      </c>
      <c r="E460" s="2" t="s">
        <v>38</v>
      </c>
      <c r="F460" s="2">
        <v>0.4</v>
      </c>
      <c r="G460" s="2">
        <v>97.0</v>
      </c>
      <c r="H460" s="2">
        <v>0.0</v>
      </c>
      <c r="I460" s="2">
        <v>53.0</v>
      </c>
      <c r="J460" s="2" t="s">
        <v>23</v>
      </c>
      <c r="K460" s="2" t="s">
        <v>16</v>
      </c>
      <c r="L460" s="2">
        <v>0.0</v>
      </c>
    </row>
    <row r="461">
      <c r="A461" s="2" t="s">
        <v>942</v>
      </c>
      <c r="B461" s="2" t="s">
        <v>943</v>
      </c>
      <c r="C461" s="3">
        <v>44947.0</v>
      </c>
      <c r="D461" s="3">
        <v>44959.0</v>
      </c>
      <c r="E461" s="2" t="s">
        <v>29</v>
      </c>
      <c r="F461" s="2">
        <v>1.9</v>
      </c>
      <c r="G461" s="2">
        <v>71.0</v>
      </c>
      <c r="H461" s="2">
        <v>0.0</v>
      </c>
      <c r="I461" s="2">
        <v>19.0</v>
      </c>
      <c r="J461" s="2" t="s">
        <v>15</v>
      </c>
      <c r="K461" s="2" t="s">
        <v>16</v>
      </c>
      <c r="L461" s="2">
        <v>1.0</v>
      </c>
    </row>
    <row r="462">
      <c r="A462" s="2" t="s">
        <v>944</v>
      </c>
      <c r="B462" s="2" t="s">
        <v>945</v>
      </c>
      <c r="C462" s="3">
        <v>45176.0</v>
      </c>
      <c r="D462" s="3">
        <v>45188.0</v>
      </c>
      <c r="E462" s="2" t="s">
        <v>38</v>
      </c>
      <c r="F462" s="2">
        <v>4.8</v>
      </c>
      <c r="G462" s="2">
        <v>86.0</v>
      </c>
      <c r="H462" s="2">
        <v>1.0</v>
      </c>
      <c r="I462" s="2">
        <v>43.0</v>
      </c>
      <c r="J462" s="2" t="s">
        <v>15</v>
      </c>
      <c r="K462" s="2" t="s">
        <v>16</v>
      </c>
      <c r="L462" s="2">
        <v>1.0</v>
      </c>
    </row>
    <row r="463">
      <c r="A463" s="2" t="s">
        <v>946</v>
      </c>
      <c r="B463" s="2" t="s">
        <v>947</v>
      </c>
      <c r="C463" s="3">
        <v>45198.0</v>
      </c>
      <c r="D463" s="3">
        <v>45210.0</v>
      </c>
      <c r="E463" s="2" t="s">
        <v>14</v>
      </c>
      <c r="F463" s="2">
        <v>0.6</v>
      </c>
      <c r="G463" s="2">
        <v>28.0</v>
      </c>
      <c r="H463" s="2">
        <v>0.0</v>
      </c>
      <c r="I463" s="2">
        <v>21.0</v>
      </c>
      <c r="J463" s="2" t="s">
        <v>19</v>
      </c>
      <c r="K463" s="2" t="s">
        <v>26</v>
      </c>
      <c r="L463" s="2">
        <v>1.0</v>
      </c>
    </row>
    <row r="464">
      <c r="A464" s="2" t="s">
        <v>948</v>
      </c>
      <c r="B464" s="2" t="s">
        <v>949</v>
      </c>
      <c r="C464" s="3">
        <v>45206.0</v>
      </c>
      <c r="D464" s="3">
        <v>45218.0</v>
      </c>
      <c r="E464" s="2" t="s">
        <v>29</v>
      </c>
      <c r="F464" s="2">
        <v>2.4</v>
      </c>
      <c r="G464" s="2">
        <v>33.0</v>
      </c>
      <c r="H464" s="2">
        <v>1.0</v>
      </c>
      <c r="I464" s="2">
        <v>40.0</v>
      </c>
      <c r="J464" s="2" t="s">
        <v>15</v>
      </c>
      <c r="K464" s="2" t="s">
        <v>47</v>
      </c>
      <c r="L464" s="2">
        <v>1.0</v>
      </c>
    </row>
    <row r="465">
      <c r="A465" s="2" t="s">
        <v>950</v>
      </c>
      <c r="B465" s="2" t="s">
        <v>951</v>
      </c>
      <c r="C465" s="3">
        <v>44981.0</v>
      </c>
      <c r="D465" s="3">
        <v>44993.0</v>
      </c>
      <c r="E465" s="2" t="s">
        <v>29</v>
      </c>
      <c r="F465" s="2">
        <v>2.1</v>
      </c>
      <c r="G465" s="2">
        <v>96.0</v>
      </c>
      <c r="H465" s="2">
        <v>0.0</v>
      </c>
      <c r="I465" s="2">
        <v>13.0</v>
      </c>
      <c r="J465" s="2" t="s">
        <v>23</v>
      </c>
      <c r="K465" s="2" t="s">
        <v>16</v>
      </c>
      <c r="L465" s="2">
        <v>0.0</v>
      </c>
    </row>
    <row r="466">
      <c r="A466" s="2" t="s">
        <v>952</v>
      </c>
      <c r="B466" s="2" t="s">
        <v>953</v>
      </c>
      <c r="C466" s="3">
        <v>45291.0</v>
      </c>
      <c r="D466" s="3">
        <v>45303.0</v>
      </c>
      <c r="E466" s="2" t="s">
        <v>22</v>
      </c>
      <c r="F466" s="2">
        <v>3.2</v>
      </c>
      <c r="G466" s="2">
        <v>66.0</v>
      </c>
      <c r="H466" s="2">
        <v>1.0</v>
      </c>
      <c r="I466" s="2">
        <v>33.0</v>
      </c>
      <c r="J466" s="2" t="s">
        <v>19</v>
      </c>
      <c r="K466" s="2" t="s">
        <v>16</v>
      </c>
      <c r="L466" s="2">
        <v>1.0</v>
      </c>
    </row>
    <row r="467">
      <c r="A467" s="2" t="s">
        <v>954</v>
      </c>
      <c r="B467" s="2" t="s">
        <v>955</v>
      </c>
      <c r="C467" s="3">
        <v>45270.0</v>
      </c>
      <c r="D467" s="3">
        <v>45282.0</v>
      </c>
      <c r="E467" s="2" t="s">
        <v>29</v>
      </c>
      <c r="F467" s="2">
        <v>4.6</v>
      </c>
      <c r="G467" s="2">
        <v>56.0</v>
      </c>
      <c r="H467" s="2">
        <v>0.0</v>
      </c>
      <c r="I467" s="2">
        <v>48.0</v>
      </c>
      <c r="J467" s="2" t="s">
        <v>32</v>
      </c>
      <c r="K467" s="2" t="s">
        <v>26</v>
      </c>
      <c r="L467" s="2">
        <v>1.0</v>
      </c>
    </row>
    <row r="468">
      <c r="A468" s="2" t="s">
        <v>956</v>
      </c>
      <c r="B468" s="2" t="s">
        <v>957</v>
      </c>
      <c r="C468" s="3">
        <v>44936.0</v>
      </c>
      <c r="D468" s="3">
        <v>44948.0</v>
      </c>
      <c r="E468" s="2" t="s">
        <v>29</v>
      </c>
      <c r="F468" s="2">
        <v>2.6</v>
      </c>
      <c r="G468" s="2">
        <v>21.0</v>
      </c>
      <c r="H468" s="2">
        <v>0.0</v>
      </c>
      <c r="I468" s="2">
        <v>12.0</v>
      </c>
      <c r="J468" s="2" t="s">
        <v>35</v>
      </c>
      <c r="K468" s="2" t="s">
        <v>47</v>
      </c>
      <c r="L468" s="2">
        <v>1.0</v>
      </c>
    </row>
    <row r="469">
      <c r="A469" s="2" t="s">
        <v>958</v>
      </c>
      <c r="B469" s="2" t="s">
        <v>959</v>
      </c>
      <c r="C469" s="3">
        <v>45036.0</v>
      </c>
      <c r="D469" s="3">
        <v>45048.0</v>
      </c>
      <c r="E469" s="2" t="s">
        <v>38</v>
      </c>
      <c r="F469" s="2">
        <v>1.7</v>
      </c>
      <c r="G469" s="2">
        <v>60.0</v>
      </c>
      <c r="H469" s="2">
        <v>1.0</v>
      </c>
      <c r="I469" s="2">
        <v>31.0</v>
      </c>
      <c r="J469" s="2" t="s">
        <v>23</v>
      </c>
      <c r="K469" s="2" t="s">
        <v>47</v>
      </c>
      <c r="L469" s="2">
        <v>1.0</v>
      </c>
    </row>
    <row r="470">
      <c r="A470" s="2" t="s">
        <v>960</v>
      </c>
      <c r="B470" s="2" t="s">
        <v>961</v>
      </c>
      <c r="C470" s="3">
        <v>45288.0</v>
      </c>
      <c r="D470" s="3">
        <v>45300.0</v>
      </c>
      <c r="E470" s="2" t="s">
        <v>38</v>
      </c>
      <c r="F470" s="2">
        <v>2.0</v>
      </c>
      <c r="G470" s="2">
        <v>91.0</v>
      </c>
      <c r="H470" s="2">
        <v>0.0</v>
      </c>
      <c r="I470" s="2">
        <v>34.0</v>
      </c>
      <c r="J470" s="2" t="s">
        <v>35</v>
      </c>
      <c r="K470" s="2" t="s">
        <v>26</v>
      </c>
      <c r="L470" s="2">
        <v>1.0</v>
      </c>
    </row>
    <row r="471">
      <c r="A471" s="2" t="s">
        <v>962</v>
      </c>
      <c r="B471" s="2" t="s">
        <v>963</v>
      </c>
      <c r="C471" s="3">
        <v>44997.0</v>
      </c>
      <c r="D471" s="3">
        <v>45009.0</v>
      </c>
      <c r="E471" s="2" t="s">
        <v>38</v>
      </c>
      <c r="F471" s="2">
        <v>0.7</v>
      </c>
      <c r="G471" s="2">
        <v>90.0</v>
      </c>
      <c r="H471" s="2">
        <v>0.0</v>
      </c>
      <c r="I471" s="2">
        <v>45.0</v>
      </c>
      <c r="J471" s="2" t="s">
        <v>32</v>
      </c>
      <c r="K471" s="2" t="s">
        <v>47</v>
      </c>
      <c r="L471" s="2">
        <v>0.0</v>
      </c>
    </row>
    <row r="472">
      <c r="A472" s="2" t="s">
        <v>964</v>
      </c>
      <c r="B472" s="2" t="s">
        <v>965</v>
      </c>
      <c r="C472" s="3">
        <v>45090.0</v>
      </c>
      <c r="D472" s="3">
        <v>45102.0</v>
      </c>
      <c r="E472" s="2" t="s">
        <v>38</v>
      </c>
      <c r="F472" s="2">
        <v>3.5</v>
      </c>
      <c r="G472" s="2">
        <v>43.0</v>
      </c>
      <c r="H472" s="2">
        <v>0.0</v>
      </c>
      <c r="I472" s="2">
        <v>39.0</v>
      </c>
      <c r="J472" s="2" t="s">
        <v>35</v>
      </c>
      <c r="K472" s="2" t="s">
        <v>26</v>
      </c>
      <c r="L472" s="2">
        <v>1.0</v>
      </c>
    </row>
    <row r="473">
      <c r="A473" s="2" t="s">
        <v>966</v>
      </c>
      <c r="B473" s="2" t="s">
        <v>967</v>
      </c>
      <c r="C473" s="3">
        <v>45138.0</v>
      </c>
      <c r="D473" s="3">
        <v>45150.0</v>
      </c>
      <c r="E473" s="2" t="s">
        <v>22</v>
      </c>
      <c r="F473" s="2">
        <v>3.9</v>
      </c>
      <c r="G473" s="2">
        <v>67.0</v>
      </c>
      <c r="H473" s="2">
        <v>1.0</v>
      </c>
      <c r="I473" s="2">
        <v>23.0</v>
      </c>
      <c r="J473" s="2" t="s">
        <v>19</v>
      </c>
      <c r="K473" s="2" t="s">
        <v>47</v>
      </c>
      <c r="L473" s="2">
        <v>1.0</v>
      </c>
    </row>
    <row r="474">
      <c r="A474" s="2" t="s">
        <v>968</v>
      </c>
      <c r="B474" s="2" t="s">
        <v>969</v>
      </c>
      <c r="C474" s="3">
        <v>45248.0</v>
      </c>
      <c r="D474" s="3">
        <v>45260.0</v>
      </c>
      <c r="E474" s="2" t="s">
        <v>14</v>
      </c>
      <c r="F474" s="2">
        <v>4.0</v>
      </c>
      <c r="G474" s="2">
        <v>98.0</v>
      </c>
      <c r="H474" s="2">
        <v>1.0</v>
      </c>
      <c r="I474" s="2">
        <v>51.0</v>
      </c>
      <c r="J474" s="2" t="s">
        <v>23</v>
      </c>
      <c r="K474" s="2" t="s">
        <v>26</v>
      </c>
      <c r="L474" s="2">
        <v>1.0</v>
      </c>
    </row>
    <row r="475">
      <c r="A475" s="2" t="s">
        <v>970</v>
      </c>
      <c r="B475" s="2" t="s">
        <v>971</v>
      </c>
      <c r="C475" s="3">
        <v>45216.0</v>
      </c>
      <c r="D475" s="3">
        <v>45228.0</v>
      </c>
      <c r="E475" s="2" t="s">
        <v>22</v>
      </c>
      <c r="F475" s="2">
        <v>3.6</v>
      </c>
      <c r="G475" s="2">
        <v>34.0</v>
      </c>
      <c r="H475" s="2">
        <v>1.0</v>
      </c>
      <c r="I475" s="2">
        <v>14.0</v>
      </c>
      <c r="J475" s="2" t="s">
        <v>35</v>
      </c>
      <c r="K475" s="2" t="s">
        <v>16</v>
      </c>
      <c r="L475" s="2">
        <v>0.0</v>
      </c>
    </row>
    <row r="476">
      <c r="A476" s="2" t="s">
        <v>972</v>
      </c>
      <c r="B476" s="2" t="s">
        <v>973</v>
      </c>
      <c r="C476" s="3">
        <v>45028.0</v>
      </c>
      <c r="D476" s="3">
        <v>45040.0</v>
      </c>
      <c r="E476" s="2" t="s">
        <v>29</v>
      </c>
      <c r="F476" s="2">
        <v>0.4</v>
      </c>
      <c r="G476" s="2">
        <v>44.0</v>
      </c>
      <c r="H476" s="2">
        <v>0.0</v>
      </c>
      <c r="I476" s="2">
        <v>42.0</v>
      </c>
      <c r="J476" s="2" t="s">
        <v>35</v>
      </c>
      <c r="K476" s="2" t="s">
        <v>16</v>
      </c>
      <c r="L476" s="2">
        <v>1.0</v>
      </c>
    </row>
    <row r="477">
      <c r="A477" s="2" t="s">
        <v>974</v>
      </c>
      <c r="B477" s="2" t="s">
        <v>975</v>
      </c>
      <c r="C477" s="3">
        <v>45280.0</v>
      </c>
      <c r="D477" s="3">
        <v>45292.0</v>
      </c>
      <c r="E477" s="2" t="s">
        <v>38</v>
      </c>
      <c r="F477" s="2">
        <v>0.3</v>
      </c>
      <c r="G477" s="2">
        <v>20.0</v>
      </c>
      <c r="H477" s="2">
        <v>1.0</v>
      </c>
      <c r="I477" s="2">
        <v>52.0</v>
      </c>
      <c r="J477" s="2" t="s">
        <v>35</v>
      </c>
      <c r="K477" s="2" t="s">
        <v>16</v>
      </c>
      <c r="L477" s="2">
        <v>0.0</v>
      </c>
    </row>
    <row r="478">
      <c r="A478" s="2" t="s">
        <v>976</v>
      </c>
      <c r="B478" s="2" t="s">
        <v>977</v>
      </c>
      <c r="C478" s="3">
        <v>45058.0</v>
      </c>
      <c r="D478" s="3">
        <v>45070.0</v>
      </c>
      <c r="E478" s="2" t="s">
        <v>38</v>
      </c>
      <c r="F478" s="2">
        <v>0.9</v>
      </c>
      <c r="G478" s="2">
        <v>16.0</v>
      </c>
      <c r="H478" s="2">
        <v>1.0</v>
      </c>
      <c r="I478" s="2">
        <v>47.0</v>
      </c>
      <c r="J478" s="2" t="s">
        <v>32</v>
      </c>
      <c r="K478" s="2" t="s">
        <v>16</v>
      </c>
      <c r="L478" s="2">
        <v>0.0</v>
      </c>
    </row>
    <row r="479">
      <c r="A479" s="2" t="s">
        <v>978</v>
      </c>
      <c r="B479" s="2" t="s">
        <v>979</v>
      </c>
      <c r="C479" s="3">
        <v>45269.0</v>
      </c>
      <c r="D479" s="3">
        <v>45281.0</v>
      </c>
      <c r="E479" s="2" t="s">
        <v>38</v>
      </c>
      <c r="F479" s="2">
        <v>0.1</v>
      </c>
      <c r="G479" s="2">
        <v>85.0</v>
      </c>
      <c r="H479" s="2">
        <v>1.0</v>
      </c>
      <c r="I479" s="2">
        <v>38.0</v>
      </c>
      <c r="J479" s="2" t="s">
        <v>35</v>
      </c>
      <c r="K479" s="2" t="s">
        <v>47</v>
      </c>
      <c r="L479" s="2">
        <v>1.0</v>
      </c>
    </row>
    <row r="480">
      <c r="A480" s="2" t="s">
        <v>980</v>
      </c>
      <c r="B480" s="2" t="s">
        <v>981</v>
      </c>
      <c r="C480" s="3">
        <v>45284.0</v>
      </c>
      <c r="D480" s="3">
        <v>45296.0</v>
      </c>
      <c r="E480" s="2" t="s">
        <v>22</v>
      </c>
      <c r="F480" s="2">
        <v>3.4</v>
      </c>
      <c r="G480" s="2">
        <v>93.0</v>
      </c>
      <c r="H480" s="2">
        <v>1.0</v>
      </c>
      <c r="I480" s="2">
        <v>27.0</v>
      </c>
      <c r="J480" s="2" t="s">
        <v>15</v>
      </c>
      <c r="K480" s="2" t="s">
        <v>47</v>
      </c>
      <c r="L480" s="2">
        <v>1.0</v>
      </c>
    </row>
    <row r="481">
      <c r="A481" s="2" t="s">
        <v>982</v>
      </c>
      <c r="B481" s="2" t="s">
        <v>983</v>
      </c>
      <c r="C481" s="3">
        <v>45049.0</v>
      </c>
      <c r="D481" s="3">
        <v>45061.0</v>
      </c>
      <c r="E481" s="2" t="s">
        <v>22</v>
      </c>
      <c r="F481" s="2">
        <v>3.3</v>
      </c>
      <c r="G481" s="2">
        <v>12.0</v>
      </c>
      <c r="H481" s="2">
        <v>1.0</v>
      </c>
      <c r="I481" s="2">
        <v>49.0</v>
      </c>
      <c r="J481" s="2" t="s">
        <v>19</v>
      </c>
      <c r="K481" s="2" t="s">
        <v>47</v>
      </c>
      <c r="L481" s="2">
        <v>1.0</v>
      </c>
    </row>
    <row r="482">
      <c r="A482" s="2" t="s">
        <v>984</v>
      </c>
      <c r="B482" s="2" t="s">
        <v>985</v>
      </c>
      <c r="C482" s="3">
        <v>45105.0</v>
      </c>
      <c r="D482" s="3">
        <v>45117.0</v>
      </c>
      <c r="E482" s="2" t="s">
        <v>14</v>
      </c>
      <c r="F482" s="2">
        <v>1.4</v>
      </c>
      <c r="G482" s="2">
        <v>49.0</v>
      </c>
      <c r="H482" s="2">
        <v>0.0</v>
      </c>
      <c r="I482" s="2">
        <v>37.0</v>
      </c>
      <c r="J482" s="2" t="s">
        <v>15</v>
      </c>
      <c r="K482" s="2" t="s">
        <v>26</v>
      </c>
      <c r="L482" s="2">
        <v>1.0</v>
      </c>
    </row>
    <row r="483">
      <c r="A483" s="2" t="s">
        <v>986</v>
      </c>
      <c r="B483" s="2" t="s">
        <v>987</v>
      </c>
      <c r="C483" s="3">
        <v>44930.0</v>
      </c>
      <c r="D483" s="3">
        <v>44942.0</v>
      </c>
      <c r="E483" s="2" t="s">
        <v>38</v>
      </c>
      <c r="F483" s="2">
        <v>1.3</v>
      </c>
      <c r="G483" s="2">
        <v>29.0</v>
      </c>
      <c r="H483" s="2">
        <v>1.0</v>
      </c>
      <c r="I483" s="2">
        <v>20.0</v>
      </c>
      <c r="J483" s="2" t="s">
        <v>35</v>
      </c>
      <c r="K483" s="2" t="s">
        <v>26</v>
      </c>
      <c r="L483" s="2">
        <v>0.0</v>
      </c>
    </row>
    <row r="484">
      <c r="A484" s="2" t="s">
        <v>988</v>
      </c>
      <c r="B484" s="2" t="s">
        <v>989</v>
      </c>
      <c r="C484" s="3">
        <v>45260.0</v>
      </c>
      <c r="D484" s="3">
        <v>45272.0</v>
      </c>
      <c r="E484" s="2" t="s">
        <v>22</v>
      </c>
      <c r="F484" s="2">
        <v>4.3</v>
      </c>
      <c r="G484" s="2">
        <v>47.0</v>
      </c>
      <c r="H484" s="2">
        <v>0.0</v>
      </c>
      <c r="I484" s="2">
        <v>54.0</v>
      </c>
      <c r="J484" s="2" t="s">
        <v>23</v>
      </c>
      <c r="K484" s="2" t="s">
        <v>26</v>
      </c>
      <c r="L484" s="2">
        <v>1.0</v>
      </c>
    </row>
    <row r="485">
      <c r="A485" s="2" t="s">
        <v>990</v>
      </c>
      <c r="B485" s="2" t="s">
        <v>991</v>
      </c>
      <c r="C485" s="3">
        <v>45262.0</v>
      </c>
      <c r="D485" s="3">
        <v>45274.0</v>
      </c>
      <c r="E485" s="2" t="s">
        <v>38</v>
      </c>
      <c r="F485" s="2">
        <v>4.7</v>
      </c>
      <c r="G485" s="2">
        <v>55.0</v>
      </c>
      <c r="H485" s="2">
        <v>1.0</v>
      </c>
      <c r="I485" s="2">
        <v>35.0</v>
      </c>
      <c r="J485" s="2" t="s">
        <v>15</v>
      </c>
      <c r="K485" s="2" t="s">
        <v>47</v>
      </c>
      <c r="L485" s="2">
        <v>1.0</v>
      </c>
    </row>
    <row r="486">
      <c r="A486" s="2" t="s">
        <v>992</v>
      </c>
      <c r="B486" s="2" t="s">
        <v>993</v>
      </c>
      <c r="C486" s="3">
        <v>44957.0</v>
      </c>
      <c r="D486" s="3">
        <v>44969.0</v>
      </c>
      <c r="E486" s="2" t="s">
        <v>22</v>
      </c>
      <c r="F486" s="2">
        <v>1.8</v>
      </c>
      <c r="G486" s="2">
        <v>58.0</v>
      </c>
      <c r="H486" s="2">
        <v>1.0</v>
      </c>
      <c r="I486" s="2">
        <v>56.0</v>
      </c>
      <c r="J486" s="2" t="s">
        <v>23</v>
      </c>
      <c r="K486" s="2" t="s">
        <v>16</v>
      </c>
      <c r="L486" s="2">
        <v>1.0</v>
      </c>
    </row>
    <row r="487">
      <c r="A487" s="2" t="s">
        <v>994</v>
      </c>
      <c r="B487" s="2" t="s">
        <v>995</v>
      </c>
      <c r="C487" s="3">
        <v>45064.0</v>
      </c>
      <c r="D487" s="3">
        <v>45076.0</v>
      </c>
      <c r="E487" s="2" t="s">
        <v>14</v>
      </c>
      <c r="F487" s="2">
        <v>3.7</v>
      </c>
      <c r="G487" s="2">
        <v>15.0</v>
      </c>
      <c r="H487" s="2">
        <v>0.0</v>
      </c>
      <c r="I487" s="2">
        <v>26.0</v>
      </c>
      <c r="J487" s="2" t="s">
        <v>35</v>
      </c>
      <c r="K487" s="2" t="s">
        <v>26</v>
      </c>
      <c r="L487" s="2">
        <v>1.0</v>
      </c>
    </row>
    <row r="488">
      <c r="A488" s="2" t="s">
        <v>996</v>
      </c>
      <c r="B488" s="2" t="s">
        <v>997</v>
      </c>
      <c r="C488" s="3">
        <v>45194.0</v>
      </c>
      <c r="D488" s="3">
        <v>45206.0</v>
      </c>
      <c r="E488" s="2" t="s">
        <v>38</v>
      </c>
      <c r="F488" s="2">
        <v>3.8</v>
      </c>
      <c r="G488" s="2">
        <v>48.0</v>
      </c>
      <c r="H488" s="2">
        <v>1.0</v>
      </c>
      <c r="I488" s="2">
        <v>32.0</v>
      </c>
      <c r="J488" s="2" t="s">
        <v>15</v>
      </c>
      <c r="K488" s="2" t="s">
        <v>26</v>
      </c>
      <c r="L488" s="2">
        <v>1.0</v>
      </c>
    </row>
    <row r="489">
      <c r="A489" s="2" t="s">
        <v>998</v>
      </c>
      <c r="B489" s="2" t="s">
        <v>999</v>
      </c>
      <c r="C489" s="3">
        <v>45080.0</v>
      </c>
      <c r="D489" s="3">
        <v>45092.0</v>
      </c>
      <c r="E489" s="2" t="s">
        <v>14</v>
      </c>
      <c r="F489" s="2">
        <v>0.5</v>
      </c>
      <c r="G489" s="2">
        <v>3.0</v>
      </c>
      <c r="H489" s="2">
        <v>1.0</v>
      </c>
      <c r="I489" s="2">
        <v>22.0</v>
      </c>
      <c r="J489" s="2" t="s">
        <v>32</v>
      </c>
      <c r="K489" s="2" t="s">
        <v>47</v>
      </c>
      <c r="L489" s="2">
        <v>1.0</v>
      </c>
    </row>
    <row r="490">
      <c r="A490" s="2" t="s">
        <v>1000</v>
      </c>
      <c r="B490" s="2" t="s">
        <v>1001</v>
      </c>
      <c r="C490" s="3">
        <v>45167.0</v>
      </c>
      <c r="D490" s="3">
        <v>45179.0</v>
      </c>
      <c r="E490" s="2" t="s">
        <v>14</v>
      </c>
      <c r="F490" s="2">
        <v>0.2</v>
      </c>
      <c r="G490" s="2">
        <v>1.0</v>
      </c>
      <c r="H490" s="2">
        <v>1.0</v>
      </c>
      <c r="I490" s="2">
        <v>30.0</v>
      </c>
      <c r="J490" s="2" t="s">
        <v>23</v>
      </c>
      <c r="K490" s="2" t="s">
        <v>26</v>
      </c>
      <c r="L490" s="2">
        <v>1.0</v>
      </c>
    </row>
    <row r="491">
      <c r="A491" s="2" t="s">
        <v>1002</v>
      </c>
      <c r="B491" s="2" t="s">
        <v>1003</v>
      </c>
      <c r="C491" s="3">
        <v>45179.0</v>
      </c>
      <c r="D491" s="3">
        <v>45191.0</v>
      </c>
      <c r="E491" s="2" t="s">
        <v>38</v>
      </c>
      <c r="F491" s="2">
        <v>1.5</v>
      </c>
      <c r="G491" s="2">
        <v>4.0</v>
      </c>
      <c r="H491" s="2">
        <v>1.0</v>
      </c>
      <c r="I491" s="2">
        <v>41.0</v>
      </c>
      <c r="J491" s="2" t="s">
        <v>19</v>
      </c>
      <c r="K491" s="2" t="s">
        <v>47</v>
      </c>
      <c r="L491" s="2">
        <v>0.0</v>
      </c>
    </row>
    <row r="492">
      <c r="A492" s="2" t="s">
        <v>1004</v>
      </c>
      <c r="B492" s="2" t="s">
        <v>1005</v>
      </c>
      <c r="C492" s="3">
        <v>45240.0</v>
      </c>
      <c r="D492" s="3">
        <v>45252.0</v>
      </c>
      <c r="E492" s="2" t="s">
        <v>38</v>
      </c>
      <c r="F492" s="2">
        <v>3.0</v>
      </c>
      <c r="G492" s="2">
        <v>80.0</v>
      </c>
      <c r="H492" s="2">
        <v>1.0</v>
      </c>
      <c r="I492" s="2">
        <v>16.0</v>
      </c>
      <c r="J492" s="2" t="s">
        <v>23</v>
      </c>
      <c r="K492" s="2" t="s">
        <v>47</v>
      </c>
      <c r="L492" s="2">
        <v>1.0</v>
      </c>
    </row>
    <row r="493">
      <c r="A493" s="2" t="s">
        <v>1006</v>
      </c>
      <c r="B493" s="2" t="s">
        <v>1007</v>
      </c>
      <c r="C493" s="3">
        <v>45000.0</v>
      </c>
      <c r="D493" s="3">
        <v>45012.0</v>
      </c>
      <c r="E493" s="2" t="s">
        <v>29</v>
      </c>
      <c r="F493" s="2">
        <v>2.3</v>
      </c>
      <c r="G493" s="2">
        <v>64.0</v>
      </c>
      <c r="H493" s="2">
        <v>1.0</v>
      </c>
      <c r="I493" s="2">
        <v>24.0</v>
      </c>
      <c r="J493" s="2" t="s">
        <v>35</v>
      </c>
      <c r="K493" s="2" t="s">
        <v>26</v>
      </c>
      <c r="L493" s="2">
        <v>0.0</v>
      </c>
    </row>
    <row r="494">
      <c r="A494" s="2" t="s">
        <v>1008</v>
      </c>
      <c r="B494" s="2" t="s">
        <v>1009</v>
      </c>
      <c r="C494" s="3">
        <v>45245.0</v>
      </c>
      <c r="D494" s="3">
        <v>45257.0</v>
      </c>
      <c r="E494" s="2" t="s">
        <v>14</v>
      </c>
      <c r="F494" s="2">
        <v>1.6</v>
      </c>
      <c r="G494" s="2">
        <v>40.0</v>
      </c>
      <c r="H494" s="2">
        <v>1.0</v>
      </c>
      <c r="I494" s="2">
        <v>15.0</v>
      </c>
      <c r="J494" s="2" t="s">
        <v>35</v>
      </c>
      <c r="K494" s="2" t="s">
        <v>26</v>
      </c>
      <c r="L494" s="2">
        <v>0.0</v>
      </c>
    </row>
    <row r="495">
      <c r="A495" s="2" t="s">
        <v>1010</v>
      </c>
      <c r="B495" s="2" t="s">
        <v>1011</v>
      </c>
      <c r="C495" s="3">
        <v>45023.0</v>
      </c>
      <c r="D495" s="3">
        <v>45035.0</v>
      </c>
      <c r="E495" s="2" t="s">
        <v>14</v>
      </c>
      <c r="F495" s="2">
        <v>5.0</v>
      </c>
      <c r="G495" s="2">
        <v>22.0</v>
      </c>
      <c r="H495" s="2">
        <v>1.0</v>
      </c>
      <c r="I495" s="2">
        <v>55.0</v>
      </c>
      <c r="J495" s="2" t="s">
        <v>32</v>
      </c>
      <c r="K495" s="2" t="s">
        <v>26</v>
      </c>
      <c r="L495" s="2">
        <v>1.0</v>
      </c>
    </row>
    <row r="496">
      <c r="A496" s="2" t="s">
        <v>1012</v>
      </c>
      <c r="B496" s="2" t="s">
        <v>1013</v>
      </c>
      <c r="C496" s="3">
        <v>45130.0</v>
      </c>
      <c r="D496" s="3">
        <v>45142.0</v>
      </c>
      <c r="E496" s="2" t="s">
        <v>14</v>
      </c>
      <c r="F496" s="2">
        <v>2.9</v>
      </c>
      <c r="G496" s="2">
        <v>75.0</v>
      </c>
      <c r="H496" s="2">
        <v>1.0</v>
      </c>
      <c r="I496" s="2">
        <v>29.0</v>
      </c>
      <c r="J496" s="2" t="s">
        <v>23</v>
      </c>
      <c r="K496" s="2" t="s">
        <v>26</v>
      </c>
      <c r="L496" s="2">
        <v>1.0</v>
      </c>
    </row>
    <row r="497">
      <c r="A497" s="2" t="s">
        <v>1014</v>
      </c>
      <c r="B497" s="2" t="s">
        <v>1015</v>
      </c>
      <c r="C497" s="3">
        <v>45090.0</v>
      </c>
      <c r="D497" s="3">
        <v>45102.0</v>
      </c>
      <c r="E497" s="2" t="s">
        <v>29</v>
      </c>
      <c r="F497" s="2">
        <v>4.1</v>
      </c>
      <c r="G497" s="2">
        <v>24.0</v>
      </c>
      <c r="H497" s="2">
        <v>1.0</v>
      </c>
      <c r="I497" s="2">
        <v>26.0</v>
      </c>
      <c r="J497" s="2" t="s">
        <v>23</v>
      </c>
      <c r="K497" s="2" t="s">
        <v>16</v>
      </c>
      <c r="L497" s="2">
        <v>1.0</v>
      </c>
    </row>
    <row r="498">
      <c r="A498" s="2" t="s">
        <v>1016</v>
      </c>
      <c r="B498" s="2" t="s">
        <v>1017</v>
      </c>
      <c r="C498" s="3">
        <v>45111.0</v>
      </c>
      <c r="D498" s="3">
        <v>45123.0</v>
      </c>
      <c r="E498" s="2" t="s">
        <v>22</v>
      </c>
      <c r="F498" s="2">
        <v>2.2</v>
      </c>
      <c r="G498" s="2">
        <v>36.0</v>
      </c>
      <c r="H498" s="2">
        <v>1.0</v>
      </c>
      <c r="I498" s="2">
        <v>32.0</v>
      </c>
      <c r="J498" s="2" t="s">
        <v>19</v>
      </c>
      <c r="K498" s="2" t="s">
        <v>26</v>
      </c>
      <c r="L498" s="2">
        <v>1.0</v>
      </c>
    </row>
    <row r="499">
      <c r="A499" s="2" t="s">
        <v>1018</v>
      </c>
      <c r="B499" s="2" t="s">
        <v>1019</v>
      </c>
      <c r="C499" s="3">
        <v>45121.0</v>
      </c>
      <c r="D499" s="3">
        <v>45133.0</v>
      </c>
      <c r="E499" s="2" t="s">
        <v>14</v>
      </c>
      <c r="F499" s="2">
        <v>1.0</v>
      </c>
      <c r="G499" s="2">
        <v>23.0</v>
      </c>
      <c r="H499" s="2">
        <v>0.0</v>
      </c>
      <c r="I499" s="2">
        <v>19.0</v>
      </c>
      <c r="J499" s="2" t="s">
        <v>23</v>
      </c>
      <c r="K499" s="2" t="s">
        <v>47</v>
      </c>
      <c r="L499" s="2">
        <v>1.0</v>
      </c>
    </row>
    <row r="500">
      <c r="A500" s="2" t="s">
        <v>1020</v>
      </c>
      <c r="B500" s="2" t="s">
        <v>1021</v>
      </c>
      <c r="C500" s="3">
        <v>45023.0</v>
      </c>
      <c r="D500" s="3">
        <v>45035.0</v>
      </c>
      <c r="E500" s="2" t="s">
        <v>38</v>
      </c>
      <c r="F500" s="2">
        <v>4.5</v>
      </c>
      <c r="G500" s="2">
        <v>77.0</v>
      </c>
      <c r="H500" s="2">
        <v>1.0</v>
      </c>
      <c r="I500" s="2">
        <v>39.0</v>
      </c>
      <c r="J500" s="2" t="s">
        <v>32</v>
      </c>
      <c r="K500" s="2" t="s">
        <v>16</v>
      </c>
      <c r="L500" s="2">
        <v>1.0</v>
      </c>
    </row>
    <row r="501">
      <c r="A501" s="2" t="s">
        <v>1022</v>
      </c>
      <c r="B501" s="2" t="s">
        <v>1023</v>
      </c>
      <c r="C501" s="3">
        <v>45019.0</v>
      </c>
      <c r="D501" s="3">
        <v>45031.0</v>
      </c>
      <c r="E501" s="2" t="s">
        <v>29</v>
      </c>
      <c r="F501" s="2">
        <v>0.8</v>
      </c>
      <c r="G501" s="2">
        <v>61.0</v>
      </c>
      <c r="H501" s="2">
        <v>0.0</v>
      </c>
      <c r="I501" s="2">
        <v>56.0</v>
      </c>
      <c r="J501" s="2" t="s">
        <v>19</v>
      </c>
      <c r="K501" s="2" t="s">
        <v>16</v>
      </c>
      <c r="L501" s="2">
        <v>0.0</v>
      </c>
    </row>
    <row r="502">
      <c r="A502" s="2" t="s">
        <v>1024</v>
      </c>
      <c r="B502" s="2" t="s">
        <v>1025</v>
      </c>
      <c r="C502" s="3">
        <v>45027.0</v>
      </c>
      <c r="D502" s="3">
        <v>45039.0</v>
      </c>
      <c r="E502" s="2" t="s">
        <v>29</v>
      </c>
      <c r="F502" s="2">
        <v>2.8</v>
      </c>
      <c r="G502" s="2">
        <v>70.0</v>
      </c>
      <c r="H502" s="2">
        <v>0.0</v>
      </c>
      <c r="I502" s="2">
        <v>47.0</v>
      </c>
      <c r="J502" s="2" t="s">
        <v>35</v>
      </c>
      <c r="K502" s="2" t="s">
        <v>26</v>
      </c>
      <c r="L502" s="2">
        <v>1.0</v>
      </c>
    </row>
    <row r="503">
      <c r="A503" s="2" t="s">
        <v>1026</v>
      </c>
      <c r="B503" s="2" t="s">
        <v>1027</v>
      </c>
      <c r="C503" s="3">
        <v>45175.0</v>
      </c>
      <c r="D503" s="3">
        <v>45187.0</v>
      </c>
      <c r="E503" s="2" t="s">
        <v>22</v>
      </c>
      <c r="F503" s="2">
        <v>4.2</v>
      </c>
      <c r="G503" s="2">
        <v>72.0</v>
      </c>
      <c r="H503" s="2">
        <v>0.0</v>
      </c>
      <c r="I503" s="2">
        <v>29.0</v>
      </c>
      <c r="J503" s="2" t="s">
        <v>19</v>
      </c>
      <c r="K503" s="2" t="s">
        <v>16</v>
      </c>
      <c r="L503" s="2">
        <v>1.0</v>
      </c>
    </row>
    <row r="504">
      <c r="A504" s="2" t="s">
        <v>1028</v>
      </c>
      <c r="B504" s="2" t="s">
        <v>1029</v>
      </c>
      <c r="C504" s="3">
        <v>45001.0</v>
      </c>
      <c r="D504" s="3">
        <v>45013.0</v>
      </c>
      <c r="E504" s="2" t="s">
        <v>14</v>
      </c>
      <c r="F504" s="2">
        <v>1.2</v>
      </c>
      <c r="G504" s="2">
        <v>79.0</v>
      </c>
      <c r="H504" s="2">
        <v>0.0</v>
      </c>
      <c r="I504" s="2">
        <v>35.0</v>
      </c>
      <c r="J504" s="2" t="s">
        <v>23</v>
      </c>
      <c r="K504" s="2" t="s">
        <v>26</v>
      </c>
      <c r="L504" s="2">
        <v>1.0</v>
      </c>
    </row>
    <row r="505">
      <c r="A505" s="2" t="s">
        <v>1030</v>
      </c>
      <c r="B505" s="2" t="s">
        <v>1031</v>
      </c>
      <c r="C505" s="3">
        <v>45282.0</v>
      </c>
      <c r="D505" s="3">
        <v>45294.0</v>
      </c>
      <c r="E505" s="2" t="s">
        <v>22</v>
      </c>
      <c r="F505" s="2">
        <v>2.7</v>
      </c>
      <c r="G505" s="2">
        <v>25.0</v>
      </c>
      <c r="H505" s="2">
        <v>1.0</v>
      </c>
      <c r="I505" s="2">
        <v>34.0</v>
      </c>
      <c r="J505" s="2" t="s">
        <v>23</v>
      </c>
      <c r="K505" s="2" t="s">
        <v>26</v>
      </c>
      <c r="L505" s="2">
        <v>1.0</v>
      </c>
    </row>
    <row r="506">
      <c r="A506" s="2" t="s">
        <v>1032</v>
      </c>
      <c r="B506" s="2" t="s">
        <v>1033</v>
      </c>
      <c r="C506" s="3">
        <v>45212.0</v>
      </c>
      <c r="D506" s="3">
        <v>45224.0</v>
      </c>
      <c r="E506" s="2" t="s">
        <v>22</v>
      </c>
      <c r="F506" s="2">
        <v>4.9</v>
      </c>
      <c r="G506" s="2">
        <v>52.0</v>
      </c>
      <c r="H506" s="2">
        <v>0.0</v>
      </c>
      <c r="I506" s="2">
        <v>25.0</v>
      </c>
      <c r="J506" s="2" t="s">
        <v>23</v>
      </c>
      <c r="K506" s="2" t="s">
        <v>16</v>
      </c>
      <c r="L506" s="2">
        <v>1.0</v>
      </c>
    </row>
    <row r="507">
      <c r="A507" s="2" t="s">
        <v>1034</v>
      </c>
      <c r="B507" s="2" t="s">
        <v>1035</v>
      </c>
      <c r="C507" s="3">
        <v>45116.0</v>
      </c>
      <c r="D507" s="3">
        <v>45128.0</v>
      </c>
      <c r="E507" s="2" t="s">
        <v>29</v>
      </c>
      <c r="F507" s="2">
        <v>2.5</v>
      </c>
      <c r="G507" s="2">
        <v>19.0</v>
      </c>
      <c r="H507" s="2">
        <v>0.0</v>
      </c>
      <c r="I507" s="2">
        <v>50.0</v>
      </c>
      <c r="J507" s="2" t="s">
        <v>19</v>
      </c>
      <c r="K507" s="2" t="s">
        <v>16</v>
      </c>
      <c r="L507" s="2">
        <v>0.0</v>
      </c>
    </row>
    <row r="508">
      <c r="A508" s="2" t="s">
        <v>1036</v>
      </c>
      <c r="B508" s="2" t="s">
        <v>1037</v>
      </c>
      <c r="C508" s="3">
        <v>44968.0</v>
      </c>
      <c r="D508" s="3">
        <v>44980.0</v>
      </c>
      <c r="E508" s="2" t="s">
        <v>14</v>
      </c>
      <c r="F508" s="2">
        <v>4.4</v>
      </c>
      <c r="G508" s="2">
        <v>85.0</v>
      </c>
      <c r="H508" s="2">
        <v>0.0</v>
      </c>
      <c r="I508" s="2">
        <v>33.0</v>
      </c>
      <c r="J508" s="2" t="s">
        <v>15</v>
      </c>
      <c r="K508" s="2" t="s">
        <v>47</v>
      </c>
      <c r="L508" s="2">
        <v>1.0</v>
      </c>
    </row>
    <row r="509">
      <c r="A509" s="2" t="s">
        <v>1038</v>
      </c>
      <c r="B509" s="2" t="s">
        <v>1039</v>
      </c>
      <c r="C509" s="3">
        <v>45118.0</v>
      </c>
      <c r="D509" s="3">
        <v>45130.0</v>
      </c>
      <c r="E509" s="2" t="s">
        <v>14</v>
      </c>
      <c r="F509" s="2">
        <v>1.1</v>
      </c>
      <c r="G509" s="2">
        <v>83.0</v>
      </c>
      <c r="H509" s="2">
        <v>0.0</v>
      </c>
      <c r="I509" s="2">
        <v>53.0</v>
      </c>
      <c r="J509" s="2" t="s">
        <v>32</v>
      </c>
      <c r="K509" s="2" t="s">
        <v>47</v>
      </c>
      <c r="L509" s="2">
        <v>1.0</v>
      </c>
    </row>
    <row r="510">
      <c r="A510" s="2" t="s">
        <v>1040</v>
      </c>
      <c r="B510" s="2" t="s">
        <v>1041</v>
      </c>
      <c r="C510" s="3">
        <v>45084.0</v>
      </c>
      <c r="D510" s="3">
        <v>45096.0</v>
      </c>
      <c r="E510" s="2" t="s">
        <v>29</v>
      </c>
      <c r="F510" s="2">
        <v>0.0</v>
      </c>
      <c r="G510" s="2">
        <v>39.0</v>
      </c>
      <c r="H510" s="2">
        <v>1.0</v>
      </c>
      <c r="I510" s="2">
        <v>30.0</v>
      </c>
      <c r="J510" s="2" t="s">
        <v>15</v>
      </c>
      <c r="K510" s="2" t="s">
        <v>16</v>
      </c>
      <c r="L510" s="2">
        <v>1.0</v>
      </c>
    </row>
    <row r="511">
      <c r="A511" s="2" t="s">
        <v>1042</v>
      </c>
      <c r="B511" s="2" t="s">
        <v>1043</v>
      </c>
      <c r="C511" s="3">
        <v>45280.0</v>
      </c>
      <c r="D511" s="3">
        <v>45292.0</v>
      </c>
      <c r="E511" s="2" t="s">
        <v>14</v>
      </c>
      <c r="F511" s="2">
        <v>3.1</v>
      </c>
      <c r="G511" s="2">
        <v>72.0</v>
      </c>
      <c r="H511" s="2">
        <v>1.0</v>
      </c>
      <c r="I511" s="2">
        <v>14.0</v>
      </c>
      <c r="J511" s="2" t="s">
        <v>32</v>
      </c>
      <c r="K511" s="2" t="s">
        <v>47</v>
      </c>
      <c r="L511" s="2">
        <v>1.0</v>
      </c>
    </row>
    <row r="512">
      <c r="A512" s="2" t="s">
        <v>1044</v>
      </c>
      <c r="B512" s="2" t="s">
        <v>1045</v>
      </c>
      <c r="C512" s="3">
        <v>45180.0</v>
      </c>
      <c r="D512" s="3">
        <v>45192.0</v>
      </c>
      <c r="E512" s="2" t="s">
        <v>29</v>
      </c>
      <c r="F512" s="2">
        <v>3.6</v>
      </c>
      <c r="G512" s="2">
        <v>67.0</v>
      </c>
      <c r="H512" s="2">
        <v>0.0</v>
      </c>
      <c r="I512" s="2">
        <v>43.0</v>
      </c>
      <c r="J512" s="2" t="s">
        <v>35</v>
      </c>
      <c r="K512" s="2" t="s">
        <v>47</v>
      </c>
      <c r="L512" s="2">
        <v>1.0</v>
      </c>
    </row>
    <row r="513">
      <c r="A513" s="2" t="s">
        <v>1046</v>
      </c>
      <c r="B513" s="2" t="s">
        <v>1047</v>
      </c>
      <c r="C513" s="3">
        <v>44962.0</v>
      </c>
      <c r="D513" s="3">
        <v>44974.0</v>
      </c>
      <c r="E513" s="2" t="s">
        <v>29</v>
      </c>
      <c r="F513" s="2">
        <v>0.7</v>
      </c>
      <c r="G513" s="2">
        <v>10.0</v>
      </c>
      <c r="H513" s="2">
        <v>0.0</v>
      </c>
      <c r="I513" s="2">
        <v>48.0</v>
      </c>
      <c r="J513" s="2" t="s">
        <v>23</v>
      </c>
      <c r="K513" s="2" t="s">
        <v>16</v>
      </c>
      <c r="L513" s="2">
        <v>1.0</v>
      </c>
    </row>
    <row r="514">
      <c r="A514" s="2" t="s">
        <v>1048</v>
      </c>
      <c r="B514" s="2" t="s">
        <v>1049</v>
      </c>
      <c r="C514" s="3">
        <v>45161.0</v>
      </c>
      <c r="D514" s="3">
        <v>45173.0</v>
      </c>
      <c r="E514" s="2" t="s">
        <v>38</v>
      </c>
      <c r="F514" s="2">
        <v>4.0</v>
      </c>
      <c r="G514" s="2">
        <v>2.0</v>
      </c>
      <c r="H514" s="2">
        <v>1.0</v>
      </c>
      <c r="I514" s="2">
        <v>27.0</v>
      </c>
      <c r="J514" s="2" t="s">
        <v>32</v>
      </c>
      <c r="K514" s="2" t="s">
        <v>16</v>
      </c>
      <c r="L514" s="2">
        <v>1.0</v>
      </c>
    </row>
    <row r="515">
      <c r="A515" s="2" t="s">
        <v>1050</v>
      </c>
      <c r="B515" s="2" t="s">
        <v>1051</v>
      </c>
      <c r="C515" s="3">
        <v>45135.0</v>
      </c>
      <c r="D515" s="3">
        <v>45147.0</v>
      </c>
      <c r="E515" s="2" t="s">
        <v>14</v>
      </c>
      <c r="F515" s="2">
        <v>2.5</v>
      </c>
      <c r="G515" s="2">
        <v>76.0</v>
      </c>
      <c r="H515" s="2">
        <v>1.0</v>
      </c>
      <c r="I515" s="2">
        <v>54.0</v>
      </c>
      <c r="J515" s="2" t="s">
        <v>15</v>
      </c>
      <c r="K515" s="2" t="s">
        <v>16</v>
      </c>
      <c r="L515" s="2">
        <v>0.0</v>
      </c>
    </row>
    <row r="516">
      <c r="A516" s="2" t="s">
        <v>1052</v>
      </c>
      <c r="B516" s="2" t="s">
        <v>1053</v>
      </c>
      <c r="C516" s="3">
        <v>45011.0</v>
      </c>
      <c r="D516" s="3">
        <v>45023.0</v>
      </c>
      <c r="E516" s="2" t="s">
        <v>14</v>
      </c>
      <c r="F516" s="2">
        <v>0.3</v>
      </c>
      <c r="G516" s="2">
        <v>23.0</v>
      </c>
      <c r="H516" s="2">
        <v>0.0</v>
      </c>
      <c r="I516" s="2">
        <v>37.0</v>
      </c>
      <c r="J516" s="2" t="s">
        <v>15</v>
      </c>
      <c r="K516" s="2" t="s">
        <v>26</v>
      </c>
      <c r="L516" s="2">
        <v>0.0</v>
      </c>
    </row>
    <row r="517">
      <c r="A517" s="2" t="s">
        <v>1054</v>
      </c>
      <c r="B517" s="2" t="s">
        <v>1055</v>
      </c>
      <c r="C517" s="3">
        <v>44960.0</v>
      </c>
      <c r="D517" s="3">
        <v>44972.0</v>
      </c>
      <c r="E517" s="2" t="s">
        <v>22</v>
      </c>
      <c r="F517" s="2">
        <v>1.2</v>
      </c>
      <c r="G517" s="2">
        <v>71.0</v>
      </c>
      <c r="H517" s="2">
        <v>1.0</v>
      </c>
      <c r="I517" s="2">
        <v>44.0</v>
      </c>
      <c r="J517" s="2" t="s">
        <v>32</v>
      </c>
      <c r="K517" s="2" t="s">
        <v>26</v>
      </c>
      <c r="L517" s="2">
        <v>0.0</v>
      </c>
    </row>
    <row r="518">
      <c r="A518" s="2" t="s">
        <v>1056</v>
      </c>
      <c r="B518" s="2" t="s">
        <v>1057</v>
      </c>
      <c r="C518" s="3">
        <v>45058.0</v>
      </c>
      <c r="D518" s="3">
        <v>45070.0</v>
      </c>
      <c r="E518" s="2" t="s">
        <v>22</v>
      </c>
      <c r="F518" s="2">
        <v>4.6</v>
      </c>
      <c r="G518" s="2">
        <v>91.0</v>
      </c>
      <c r="H518" s="2">
        <v>1.0</v>
      </c>
      <c r="I518" s="2">
        <v>24.0</v>
      </c>
      <c r="J518" s="2" t="s">
        <v>23</v>
      </c>
      <c r="K518" s="2" t="s">
        <v>47</v>
      </c>
      <c r="L518" s="2">
        <v>0.0</v>
      </c>
    </row>
    <row r="519">
      <c r="A519" s="2" t="s">
        <v>1058</v>
      </c>
      <c r="B519" s="2" t="s">
        <v>1059</v>
      </c>
      <c r="C519" s="3">
        <v>45278.0</v>
      </c>
      <c r="D519" s="3">
        <v>45290.0</v>
      </c>
      <c r="E519" s="2" t="s">
        <v>29</v>
      </c>
      <c r="F519" s="2">
        <v>4.5</v>
      </c>
      <c r="G519" s="2">
        <v>79.0</v>
      </c>
      <c r="H519" s="2">
        <v>1.0</v>
      </c>
      <c r="I519" s="2">
        <v>13.0</v>
      </c>
      <c r="J519" s="2" t="s">
        <v>32</v>
      </c>
      <c r="K519" s="2" t="s">
        <v>26</v>
      </c>
      <c r="L519" s="2">
        <v>1.0</v>
      </c>
    </row>
    <row r="520">
      <c r="A520" s="2" t="s">
        <v>1060</v>
      </c>
      <c r="B520" s="2" t="s">
        <v>1061</v>
      </c>
      <c r="C520" s="3">
        <v>45164.0</v>
      </c>
      <c r="D520" s="3">
        <v>45176.0</v>
      </c>
      <c r="E520" s="2" t="s">
        <v>22</v>
      </c>
      <c r="F520" s="2">
        <v>3.2</v>
      </c>
      <c r="G520" s="2">
        <v>17.0</v>
      </c>
      <c r="H520" s="2">
        <v>0.0</v>
      </c>
      <c r="I520" s="2">
        <v>49.0</v>
      </c>
      <c r="J520" s="2" t="s">
        <v>19</v>
      </c>
      <c r="K520" s="2" t="s">
        <v>47</v>
      </c>
      <c r="L520" s="2">
        <v>0.0</v>
      </c>
    </row>
    <row r="521">
      <c r="A521" s="2" t="s">
        <v>1062</v>
      </c>
      <c r="B521" s="2" t="s">
        <v>1063</v>
      </c>
      <c r="C521" s="3">
        <v>45027.0</v>
      </c>
      <c r="D521" s="3">
        <v>45039.0</v>
      </c>
      <c r="E521" s="2" t="s">
        <v>29</v>
      </c>
      <c r="F521" s="2">
        <v>1.4</v>
      </c>
      <c r="G521" s="2">
        <v>100.0</v>
      </c>
      <c r="H521" s="2">
        <v>1.0</v>
      </c>
      <c r="I521" s="2">
        <v>40.0</v>
      </c>
      <c r="J521" s="2" t="s">
        <v>32</v>
      </c>
      <c r="K521" s="2" t="s">
        <v>26</v>
      </c>
      <c r="L521" s="2">
        <v>1.0</v>
      </c>
    </row>
    <row r="522">
      <c r="A522" s="2" t="s">
        <v>1064</v>
      </c>
      <c r="B522" s="2" t="s">
        <v>1065</v>
      </c>
      <c r="C522" s="3">
        <v>45271.0</v>
      </c>
      <c r="D522" s="3">
        <v>45283.0</v>
      </c>
      <c r="E522" s="2" t="s">
        <v>29</v>
      </c>
      <c r="F522" s="2">
        <v>1.6</v>
      </c>
      <c r="G522" s="2">
        <v>54.0</v>
      </c>
      <c r="H522" s="2">
        <v>1.0</v>
      </c>
      <c r="I522" s="2">
        <v>46.0</v>
      </c>
      <c r="J522" s="2" t="s">
        <v>32</v>
      </c>
      <c r="K522" s="2" t="s">
        <v>26</v>
      </c>
      <c r="L522" s="2">
        <v>1.0</v>
      </c>
    </row>
    <row r="523">
      <c r="A523" s="2" t="s">
        <v>1066</v>
      </c>
      <c r="B523" s="2" t="s">
        <v>1067</v>
      </c>
      <c r="C523" s="3">
        <v>45117.0</v>
      </c>
      <c r="D523" s="3">
        <v>45129.0</v>
      </c>
      <c r="E523" s="2" t="s">
        <v>29</v>
      </c>
      <c r="F523" s="2">
        <v>1.3</v>
      </c>
      <c r="G523" s="2">
        <v>98.0</v>
      </c>
      <c r="H523" s="2">
        <v>1.0</v>
      </c>
      <c r="I523" s="2">
        <v>41.0</v>
      </c>
      <c r="J523" s="2" t="s">
        <v>23</v>
      </c>
      <c r="K523" s="2" t="s">
        <v>16</v>
      </c>
      <c r="L523" s="2">
        <v>1.0</v>
      </c>
    </row>
    <row r="524">
      <c r="A524" s="2" t="s">
        <v>1068</v>
      </c>
      <c r="B524" s="2" t="s">
        <v>1069</v>
      </c>
      <c r="C524" s="3">
        <v>44952.0</v>
      </c>
      <c r="D524" s="3">
        <v>44964.0</v>
      </c>
      <c r="E524" s="2" t="s">
        <v>29</v>
      </c>
      <c r="F524" s="2">
        <v>4.2</v>
      </c>
      <c r="G524" s="2">
        <v>16.0</v>
      </c>
      <c r="H524" s="2">
        <v>1.0</v>
      </c>
      <c r="I524" s="2">
        <v>17.0</v>
      </c>
      <c r="J524" s="2" t="s">
        <v>15</v>
      </c>
      <c r="K524" s="2" t="s">
        <v>16</v>
      </c>
      <c r="L524" s="2">
        <v>0.0</v>
      </c>
    </row>
    <row r="525">
      <c r="A525" s="2" t="s">
        <v>1070</v>
      </c>
      <c r="B525" s="2" t="s">
        <v>1071</v>
      </c>
      <c r="C525" s="3">
        <v>45272.0</v>
      </c>
      <c r="D525" s="3">
        <v>45284.0</v>
      </c>
      <c r="E525" s="2" t="s">
        <v>29</v>
      </c>
      <c r="F525" s="2">
        <v>0.9</v>
      </c>
      <c r="G525" s="2">
        <v>44.0</v>
      </c>
      <c r="H525" s="2">
        <v>0.0</v>
      </c>
      <c r="I525" s="2">
        <v>55.0</v>
      </c>
      <c r="J525" s="2" t="s">
        <v>32</v>
      </c>
      <c r="K525" s="2" t="s">
        <v>16</v>
      </c>
      <c r="L525" s="2">
        <v>0.0</v>
      </c>
    </row>
    <row r="526">
      <c r="A526" s="2" t="s">
        <v>1072</v>
      </c>
      <c r="B526" s="2" t="s">
        <v>1073</v>
      </c>
      <c r="C526" s="3">
        <v>45220.0</v>
      </c>
      <c r="D526" s="3">
        <v>45232.0</v>
      </c>
      <c r="E526" s="2" t="s">
        <v>38</v>
      </c>
      <c r="F526" s="2">
        <v>0.5</v>
      </c>
      <c r="G526" s="2">
        <v>40.0</v>
      </c>
      <c r="H526" s="2">
        <v>0.0</v>
      </c>
      <c r="I526" s="2">
        <v>18.0</v>
      </c>
      <c r="J526" s="2" t="s">
        <v>23</v>
      </c>
      <c r="K526" s="2" t="s">
        <v>16</v>
      </c>
      <c r="L526" s="2">
        <v>1.0</v>
      </c>
    </row>
    <row r="527">
      <c r="A527" s="2" t="s">
        <v>1074</v>
      </c>
      <c r="B527" s="2" t="s">
        <v>1075</v>
      </c>
      <c r="C527" s="3">
        <v>45129.0</v>
      </c>
      <c r="D527" s="3">
        <v>45141.0</v>
      </c>
      <c r="E527" s="2" t="s">
        <v>14</v>
      </c>
      <c r="F527" s="2">
        <v>2.0</v>
      </c>
      <c r="G527" s="2">
        <v>86.0</v>
      </c>
      <c r="H527" s="2">
        <v>1.0</v>
      </c>
      <c r="I527" s="2">
        <v>21.0</v>
      </c>
      <c r="J527" s="2" t="s">
        <v>23</v>
      </c>
      <c r="K527" s="2" t="s">
        <v>26</v>
      </c>
      <c r="L527" s="2">
        <v>0.0</v>
      </c>
    </row>
    <row r="528">
      <c r="A528" s="2" t="s">
        <v>1076</v>
      </c>
      <c r="B528" s="2" t="s">
        <v>1077</v>
      </c>
      <c r="C528" s="3">
        <v>45151.0</v>
      </c>
      <c r="D528" s="3">
        <v>45163.0</v>
      </c>
      <c r="E528" s="2" t="s">
        <v>22</v>
      </c>
      <c r="F528" s="2">
        <v>1.7</v>
      </c>
      <c r="G528" s="2">
        <v>62.0</v>
      </c>
      <c r="H528" s="2">
        <v>1.0</v>
      </c>
      <c r="I528" s="2">
        <v>31.0</v>
      </c>
      <c r="J528" s="2" t="s">
        <v>19</v>
      </c>
      <c r="K528" s="2" t="s">
        <v>16</v>
      </c>
      <c r="L528" s="2">
        <v>0.0</v>
      </c>
    </row>
    <row r="529">
      <c r="A529" s="2" t="s">
        <v>1078</v>
      </c>
      <c r="B529" s="2" t="s">
        <v>1079</v>
      </c>
      <c r="C529" s="3">
        <v>45122.0</v>
      </c>
      <c r="D529" s="3">
        <v>45134.0</v>
      </c>
      <c r="E529" s="2" t="s">
        <v>38</v>
      </c>
      <c r="F529" s="2">
        <v>3.1</v>
      </c>
      <c r="G529" s="2">
        <v>58.0</v>
      </c>
      <c r="H529" s="2">
        <v>0.0</v>
      </c>
      <c r="I529" s="2">
        <v>15.0</v>
      </c>
      <c r="J529" s="2" t="s">
        <v>23</v>
      </c>
      <c r="K529" s="2" t="s">
        <v>47</v>
      </c>
      <c r="L529" s="2">
        <v>0.0</v>
      </c>
    </row>
    <row r="530">
      <c r="A530" s="2" t="s">
        <v>1080</v>
      </c>
      <c r="B530" s="2" t="s">
        <v>1081</v>
      </c>
      <c r="C530" s="3">
        <v>45054.0</v>
      </c>
      <c r="D530" s="3">
        <v>45066.0</v>
      </c>
      <c r="E530" s="2" t="s">
        <v>14</v>
      </c>
      <c r="F530" s="2">
        <v>0.2</v>
      </c>
      <c r="G530" s="2">
        <v>92.0</v>
      </c>
      <c r="H530" s="2">
        <v>1.0</v>
      </c>
      <c r="I530" s="2">
        <v>36.0</v>
      </c>
      <c r="J530" s="2" t="s">
        <v>15</v>
      </c>
      <c r="K530" s="2" t="s">
        <v>26</v>
      </c>
      <c r="L530" s="2">
        <v>0.0</v>
      </c>
    </row>
    <row r="531">
      <c r="A531" s="2" t="s">
        <v>1082</v>
      </c>
      <c r="B531" s="2" t="s">
        <v>1083</v>
      </c>
      <c r="C531" s="3">
        <v>45118.0</v>
      </c>
      <c r="D531" s="3">
        <v>45130.0</v>
      </c>
      <c r="E531" s="2" t="s">
        <v>29</v>
      </c>
      <c r="F531" s="2">
        <v>1.9</v>
      </c>
      <c r="G531" s="2">
        <v>29.0</v>
      </c>
      <c r="H531" s="2">
        <v>1.0</v>
      </c>
      <c r="I531" s="2">
        <v>28.0</v>
      </c>
      <c r="J531" s="2" t="s">
        <v>19</v>
      </c>
      <c r="K531" s="2" t="s">
        <v>47</v>
      </c>
      <c r="L531" s="2">
        <v>1.0</v>
      </c>
    </row>
    <row r="532">
      <c r="A532" s="2" t="s">
        <v>1084</v>
      </c>
      <c r="B532" s="2" t="s">
        <v>1085</v>
      </c>
      <c r="C532" s="3">
        <v>45140.0</v>
      </c>
      <c r="D532" s="3">
        <v>45152.0</v>
      </c>
      <c r="E532" s="2" t="s">
        <v>14</v>
      </c>
      <c r="F532" s="2">
        <v>2.4</v>
      </c>
      <c r="G532" s="2">
        <v>96.0</v>
      </c>
      <c r="H532" s="2">
        <v>1.0</v>
      </c>
      <c r="I532" s="2">
        <v>20.0</v>
      </c>
      <c r="J532" s="2" t="s">
        <v>32</v>
      </c>
      <c r="K532" s="2" t="s">
        <v>47</v>
      </c>
      <c r="L532" s="2">
        <v>1.0</v>
      </c>
    </row>
    <row r="533">
      <c r="A533" s="2" t="s">
        <v>1086</v>
      </c>
      <c r="B533" s="2" t="s">
        <v>1087</v>
      </c>
      <c r="C533" s="3">
        <v>45004.0</v>
      </c>
      <c r="D533" s="3">
        <v>45016.0</v>
      </c>
      <c r="E533" s="2" t="s">
        <v>38</v>
      </c>
      <c r="F533" s="2">
        <v>2.8</v>
      </c>
      <c r="G533" s="2">
        <v>20.0</v>
      </c>
      <c r="H533" s="2">
        <v>0.0</v>
      </c>
      <c r="I533" s="2">
        <v>38.0</v>
      </c>
      <c r="J533" s="2" t="s">
        <v>23</v>
      </c>
      <c r="K533" s="2" t="s">
        <v>26</v>
      </c>
      <c r="L533" s="2">
        <v>0.0</v>
      </c>
    </row>
    <row r="534">
      <c r="A534" s="2" t="s">
        <v>1088</v>
      </c>
      <c r="B534" s="2" t="s">
        <v>1089</v>
      </c>
      <c r="C534" s="3">
        <v>45023.0</v>
      </c>
      <c r="D534" s="3">
        <v>45035.0</v>
      </c>
      <c r="E534" s="2" t="s">
        <v>38</v>
      </c>
      <c r="F534" s="2">
        <v>3.7</v>
      </c>
      <c r="G534" s="2">
        <v>13.0</v>
      </c>
      <c r="H534" s="2">
        <v>1.0</v>
      </c>
      <c r="I534" s="2">
        <v>16.0</v>
      </c>
      <c r="J534" s="2" t="s">
        <v>32</v>
      </c>
      <c r="K534" s="2" t="s">
        <v>47</v>
      </c>
      <c r="L534" s="2">
        <v>1.0</v>
      </c>
    </row>
    <row r="535">
      <c r="A535" s="2" t="s">
        <v>1090</v>
      </c>
      <c r="B535" s="2" t="s">
        <v>1091</v>
      </c>
      <c r="C535" s="3">
        <v>45033.0</v>
      </c>
      <c r="D535" s="3">
        <v>45045.0</v>
      </c>
      <c r="E535" s="2" t="s">
        <v>38</v>
      </c>
      <c r="F535" s="2">
        <v>2.6</v>
      </c>
      <c r="G535" s="2">
        <v>45.0</v>
      </c>
      <c r="H535" s="2">
        <v>0.0</v>
      </c>
      <c r="I535" s="2">
        <v>52.0</v>
      </c>
      <c r="J535" s="2" t="s">
        <v>23</v>
      </c>
      <c r="K535" s="2" t="s">
        <v>16</v>
      </c>
      <c r="L535" s="2">
        <v>0.0</v>
      </c>
    </row>
    <row r="536">
      <c r="A536" s="2" t="s">
        <v>1092</v>
      </c>
      <c r="B536" s="2" t="s">
        <v>1093</v>
      </c>
      <c r="C536" s="3">
        <v>44932.0</v>
      </c>
      <c r="D536" s="3">
        <v>44944.0</v>
      </c>
      <c r="E536" s="2" t="s">
        <v>22</v>
      </c>
      <c r="F536" s="2">
        <v>4.4</v>
      </c>
      <c r="G536" s="2">
        <v>3.0</v>
      </c>
      <c r="H536" s="2">
        <v>1.0</v>
      </c>
      <c r="I536" s="2">
        <v>51.0</v>
      </c>
      <c r="J536" s="2" t="s">
        <v>35</v>
      </c>
      <c r="K536" s="2" t="s">
        <v>26</v>
      </c>
      <c r="L536" s="2">
        <v>1.0</v>
      </c>
    </row>
    <row r="537">
      <c r="A537" s="2" t="s">
        <v>1094</v>
      </c>
      <c r="B537" s="2" t="s">
        <v>1095</v>
      </c>
      <c r="C537" s="3">
        <v>45204.0</v>
      </c>
      <c r="D537" s="3">
        <v>45216.0</v>
      </c>
      <c r="E537" s="2" t="s">
        <v>29</v>
      </c>
      <c r="F537" s="2">
        <v>0.4</v>
      </c>
      <c r="G537" s="2">
        <v>66.0</v>
      </c>
      <c r="H537" s="2">
        <v>1.0</v>
      </c>
      <c r="I537" s="2">
        <v>12.0</v>
      </c>
      <c r="J537" s="2" t="s">
        <v>23</v>
      </c>
      <c r="K537" s="2" t="s">
        <v>16</v>
      </c>
      <c r="L537" s="2">
        <v>1.0</v>
      </c>
    </row>
    <row r="538">
      <c r="A538" s="2" t="s">
        <v>1096</v>
      </c>
      <c r="B538" s="2" t="s">
        <v>1097</v>
      </c>
      <c r="C538" s="3">
        <v>45095.0</v>
      </c>
      <c r="D538" s="3">
        <v>45107.0</v>
      </c>
      <c r="E538" s="2" t="s">
        <v>14</v>
      </c>
      <c r="F538" s="2">
        <v>4.7</v>
      </c>
      <c r="G538" s="2">
        <v>78.0</v>
      </c>
      <c r="H538" s="2">
        <v>1.0</v>
      </c>
      <c r="I538" s="2">
        <v>45.0</v>
      </c>
      <c r="J538" s="2" t="s">
        <v>35</v>
      </c>
      <c r="K538" s="2" t="s">
        <v>47</v>
      </c>
      <c r="L538" s="2">
        <v>0.0</v>
      </c>
    </row>
    <row r="539">
      <c r="A539" s="2" t="s">
        <v>1098</v>
      </c>
      <c r="B539" s="2" t="s">
        <v>1099</v>
      </c>
      <c r="C539" s="3">
        <v>45068.0</v>
      </c>
      <c r="D539" s="3">
        <v>45080.0</v>
      </c>
      <c r="E539" s="2" t="s">
        <v>14</v>
      </c>
      <c r="F539" s="2">
        <v>3.9</v>
      </c>
      <c r="G539" s="2">
        <v>57.0</v>
      </c>
      <c r="H539" s="2">
        <v>0.0</v>
      </c>
      <c r="I539" s="2">
        <v>42.0</v>
      </c>
      <c r="J539" s="2" t="s">
        <v>19</v>
      </c>
      <c r="K539" s="2" t="s">
        <v>16</v>
      </c>
      <c r="L539" s="2">
        <v>1.0</v>
      </c>
    </row>
    <row r="540">
      <c r="A540" s="2" t="s">
        <v>1100</v>
      </c>
      <c r="B540" s="2" t="s">
        <v>1101</v>
      </c>
      <c r="C540" s="3">
        <v>44954.0</v>
      </c>
      <c r="D540" s="3">
        <v>44966.0</v>
      </c>
      <c r="E540" s="2" t="s">
        <v>14</v>
      </c>
      <c r="F540" s="2">
        <v>0.1</v>
      </c>
      <c r="G540" s="2">
        <v>59.0</v>
      </c>
      <c r="H540" s="2">
        <v>0.0</v>
      </c>
      <c r="I540" s="2">
        <v>23.0</v>
      </c>
      <c r="J540" s="2" t="s">
        <v>35</v>
      </c>
      <c r="K540" s="2" t="s">
        <v>16</v>
      </c>
      <c r="L540" s="2">
        <v>1.0</v>
      </c>
    </row>
    <row r="541">
      <c r="A541" s="2" t="s">
        <v>1102</v>
      </c>
      <c r="B541" s="2" t="s">
        <v>1103</v>
      </c>
      <c r="C541" s="3">
        <v>44961.0</v>
      </c>
      <c r="D541" s="3">
        <v>44973.0</v>
      </c>
      <c r="E541" s="2" t="s">
        <v>14</v>
      </c>
      <c r="F541" s="2">
        <v>2.7</v>
      </c>
      <c r="G541" s="2">
        <v>35.0</v>
      </c>
      <c r="H541" s="2">
        <v>1.0</v>
      </c>
      <c r="I541" s="2">
        <v>22.0</v>
      </c>
      <c r="J541" s="2" t="s">
        <v>23</v>
      </c>
      <c r="K541" s="2" t="s">
        <v>26</v>
      </c>
      <c r="L541" s="2">
        <v>1.0</v>
      </c>
    </row>
    <row r="542">
      <c r="A542" s="2" t="s">
        <v>1104</v>
      </c>
      <c r="B542" s="2" t="s">
        <v>1105</v>
      </c>
      <c r="C542" s="3">
        <v>44982.0</v>
      </c>
      <c r="D542" s="3">
        <v>44994.0</v>
      </c>
      <c r="E542" s="2" t="s">
        <v>14</v>
      </c>
      <c r="F542" s="2">
        <v>5.0</v>
      </c>
      <c r="G542" s="2">
        <v>77.0</v>
      </c>
      <c r="H542" s="2">
        <v>1.0</v>
      </c>
      <c r="I542" s="2">
        <v>33.0</v>
      </c>
      <c r="J542" s="2" t="s">
        <v>35</v>
      </c>
      <c r="K542" s="2" t="s">
        <v>47</v>
      </c>
      <c r="L542" s="2">
        <v>1.0</v>
      </c>
    </row>
    <row r="543">
      <c r="A543" s="2" t="s">
        <v>1106</v>
      </c>
      <c r="B543" s="2" t="s">
        <v>1107</v>
      </c>
      <c r="C543" s="3">
        <v>45176.0</v>
      </c>
      <c r="D543" s="3">
        <v>45188.0</v>
      </c>
      <c r="E543" s="2" t="s">
        <v>22</v>
      </c>
      <c r="F543" s="2">
        <v>3.5</v>
      </c>
      <c r="G543" s="2">
        <v>55.0</v>
      </c>
      <c r="H543" s="2">
        <v>1.0</v>
      </c>
      <c r="I543" s="2">
        <v>32.0</v>
      </c>
      <c r="J543" s="2" t="s">
        <v>15</v>
      </c>
      <c r="K543" s="2" t="s">
        <v>26</v>
      </c>
      <c r="L543" s="2">
        <v>0.0</v>
      </c>
    </row>
    <row r="544">
      <c r="A544" s="2" t="s">
        <v>1108</v>
      </c>
      <c r="B544" s="2" t="s">
        <v>1109</v>
      </c>
      <c r="C544" s="3">
        <v>44971.0</v>
      </c>
      <c r="D544" s="3">
        <v>44983.0</v>
      </c>
      <c r="E544" s="2" t="s">
        <v>29</v>
      </c>
      <c r="F544" s="2">
        <v>4.8</v>
      </c>
      <c r="G544" s="2">
        <v>43.0</v>
      </c>
      <c r="H544" s="2">
        <v>1.0</v>
      </c>
      <c r="I544" s="2">
        <v>26.0</v>
      </c>
      <c r="J544" s="2" t="s">
        <v>23</v>
      </c>
      <c r="K544" s="2" t="s">
        <v>16</v>
      </c>
      <c r="L544" s="2">
        <v>1.0</v>
      </c>
    </row>
    <row r="545">
      <c r="A545" s="2" t="s">
        <v>1110</v>
      </c>
      <c r="B545" s="2" t="s">
        <v>1111</v>
      </c>
      <c r="C545" s="3">
        <v>45158.0</v>
      </c>
      <c r="D545" s="3">
        <v>45170.0</v>
      </c>
      <c r="E545" s="2" t="s">
        <v>38</v>
      </c>
      <c r="F545" s="2">
        <v>4.3</v>
      </c>
      <c r="G545" s="2">
        <v>9.0</v>
      </c>
      <c r="H545" s="2">
        <v>1.0</v>
      </c>
      <c r="I545" s="2">
        <v>19.0</v>
      </c>
      <c r="J545" s="2" t="s">
        <v>15</v>
      </c>
      <c r="K545" s="2" t="s">
        <v>47</v>
      </c>
      <c r="L545" s="2">
        <v>1.0</v>
      </c>
    </row>
    <row r="546">
      <c r="A546" s="2" t="s">
        <v>1112</v>
      </c>
      <c r="B546" s="2" t="s">
        <v>1113</v>
      </c>
      <c r="C546" s="3">
        <v>45103.0</v>
      </c>
      <c r="D546" s="3">
        <v>45115.0</v>
      </c>
      <c r="E546" s="2" t="s">
        <v>22</v>
      </c>
      <c r="F546" s="2">
        <v>4.9</v>
      </c>
      <c r="G546" s="2">
        <v>27.0</v>
      </c>
      <c r="H546" s="2">
        <v>1.0</v>
      </c>
      <c r="I546" s="2">
        <v>44.0</v>
      </c>
      <c r="J546" s="2" t="s">
        <v>23</v>
      </c>
      <c r="K546" s="2" t="s">
        <v>47</v>
      </c>
      <c r="L546" s="2">
        <v>0.0</v>
      </c>
    </row>
    <row r="547">
      <c r="A547" s="2" t="s">
        <v>1114</v>
      </c>
      <c r="B547" s="2" t="s">
        <v>1115</v>
      </c>
      <c r="C547" s="3">
        <v>45234.0</v>
      </c>
      <c r="D547" s="3">
        <v>45246.0</v>
      </c>
      <c r="E547" s="2" t="s">
        <v>29</v>
      </c>
      <c r="F547" s="2">
        <v>2.9</v>
      </c>
      <c r="G547" s="2">
        <v>50.0</v>
      </c>
      <c r="H547" s="2">
        <v>1.0</v>
      </c>
      <c r="I547" s="2">
        <v>48.0</v>
      </c>
      <c r="J547" s="2" t="s">
        <v>32</v>
      </c>
      <c r="K547" s="2" t="s">
        <v>16</v>
      </c>
      <c r="L547" s="2">
        <v>1.0</v>
      </c>
    </row>
    <row r="548">
      <c r="A548" s="2" t="s">
        <v>1116</v>
      </c>
      <c r="B548" s="2" t="s">
        <v>1117</v>
      </c>
      <c r="C548" s="3">
        <v>45242.0</v>
      </c>
      <c r="D548" s="3">
        <v>45254.0</v>
      </c>
      <c r="E548" s="2" t="s">
        <v>14</v>
      </c>
      <c r="F548" s="2">
        <v>2.1</v>
      </c>
      <c r="G548" s="2">
        <v>25.0</v>
      </c>
      <c r="H548" s="2">
        <v>1.0</v>
      </c>
      <c r="I548" s="2">
        <v>21.0</v>
      </c>
      <c r="J548" s="2" t="s">
        <v>32</v>
      </c>
      <c r="K548" s="2" t="s">
        <v>16</v>
      </c>
      <c r="L548" s="2">
        <v>1.0</v>
      </c>
    </row>
    <row r="549">
      <c r="A549" s="2" t="s">
        <v>1118</v>
      </c>
      <c r="B549" s="2" t="s">
        <v>1119</v>
      </c>
      <c r="C549" s="3">
        <v>44944.0</v>
      </c>
      <c r="D549" s="3">
        <v>44956.0</v>
      </c>
      <c r="E549" s="2" t="s">
        <v>29</v>
      </c>
      <c r="F549" s="2">
        <v>2.2</v>
      </c>
      <c r="G549" s="2">
        <v>24.0</v>
      </c>
      <c r="H549" s="2">
        <v>1.0</v>
      </c>
      <c r="I549" s="2">
        <v>43.0</v>
      </c>
      <c r="J549" s="2" t="s">
        <v>35</v>
      </c>
      <c r="K549" s="2" t="s">
        <v>47</v>
      </c>
      <c r="L549" s="2">
        <v>0.0</v>
      </c>
    </row>
    <row r="550">
      <c r="A550" s="2" t="s">
        <v>1120</v>
      </c>
      <c r="B550" s="2" t="s">
        <v>1121</v>
      </c>
      <c r="C550" s="3">
        <v>45279.0</v>
      </c>
      <c r="D550" s="3">
        <v>45291.0</v>
      </c>
      <c r="E550" s="2" t="s">
        <v>29</v>
      </c>
      <c r="F550" s="2">
        <v>3.8</v>
      </c>
      <c r="G550" s="2">
        <v>34.0</v>
      </c>
      <c r="H550" s="2">
        <v>1.0</v>
      </c>
      <c r="I550" s="2">
        <v>13.0</v>
      </c>
      <c r="J550" s="2" t="s">
        <v>32</v>
      </c>
      <c r="K550" s="2" t="s">
        <v>47</v>
      </c>
      <c r="L550" s="2">
        <v>0.0</v>
      </c>
    </row>
    <row r="551">
      <c r="A551" s="2" t="s">
        <v>1122</v>
      </c>
      <c r="B551" s="2" t="s">
        <v>1123</v>
      </c>
      <c r="C551" s="3">
        <v>45151.0</v>
      </c>
      <c r="D551" s="3">
        <v>45163.0</v>
      </c>
      <c r="E551" s="2" t="s">
        <v>22</v>
      </c>
      <c r="F551" s="2">
        <v>1.1</v>
      </c>
      <c r="G551" s="2">
        <v>75.0</v>
      </c>
      <c r="H551" s="2">
        <v>0.0</v>
      </c>
      <c r="I551" s="2">
        <v>23.0</v>
      </c>
      <c r="J551" s="2" t="s">
        <v>19</v>
      </c>
      <c r="K551" s="2" t="s">
        <v>47</v>
      </c>
      <c r="L551" s="2">
        <v>0.0</v>
      </c>
    </row>
    <row r="552">
      <c r="A552" s="2" t="s">
        <v>1124</v>
      </c>
      <c r="B552" s="2" t="s">
        <v>1125</v>
      </c>
      <c r="C552" s="3">
        <v>45194.0</v>
      </c>
      <c r="D552" s="3">
        <v>45206.0</v>
      </c>
      <c r="E552" s="2" t="s">
        <v>38</v>
      </c>
      <c r="F552" s="2">
        <v>2.3</v>
      </c>
      <c r="G552" s="2">
        <v>89.0</v>
      </c>
      <c r="H552" s="2">
        <v>0.0</v>
      </c>
      <c r="I552" s="2">
        <v>29.0</v>
      </c>
      <c r="J552" s="2" t="s">
        <v>35</v>
      </c>
      <c r="K552" s="2" t="s">
        <v>26</v>
      </c>
      <c r="L552" s="2">
        <v>0.0</v>
      </c>
    </row>
    <row r="553">
      <c r="A553" s="2" t="s">
        <v>1126</v>
      </c>
      <c r="B553" s="2" t="s">
        <v>1127</v>
      </c>
      <c r="C553" s="3">
        <v>45125.0</v>
      </c>
      <c r="D553" s="3">
        <v>45137.0</v>
      </c>
      <c r="E553" s="2" t="s">
        <v>22</v>
      </c>
      <c r="F553" s="2">
        <v>1.8</v>
      </c>
      <c r="G553" s="2">
        <v>28.0</v>
      </c>
      <c r="H553" s="2">
        <v>1.0</v>
      </c>
      <c r="I553" s="2">
        <v>45.0</v>
      </c>
      <c r="J553" s="2" t="s">
        <v>15</v>
      </c>
      <c r="K553" s="2" t="s">
        <v>16</v>
      </c>
      <c r="L553" s="2">
        <v>1.0</v>
      </c>
    </row>
    <row r="554">
      <c r="A554" s="2" t="s">
        <v>1128</v>
      </c>
      <c r="B554" s="2" t="s">
        <v>1129</v>
      </c>
      <c r="C554" s="3">
        <v>45137.0</v>
      </c>
      <c r="D554" s="3">
        <v>45149.0</v>
      </c>
      <c r="E554" s="2" t="s">
        <v>29</v>
      </c>
      <c r="F554" s="2">
        <v>4.1</v>
      </c>
      <c r="G554" s="2">
        <v>81.0</v>
      </c>
      <c r="H554" s="2">
        <v>0.0</v>
      </c>
      <c r="I554" s="2">
        <v>42.0</v>
      </c>
      <c r="J554" s="2" t="s">
        <v>32</v>
      </c>
      <c r="K554" s="2" t="s">
        <v>16</v>
      </c>
      <c r="L554" s="2">
        <v>1.0</v>
      </c>
    </row>
    <row r="555">
      <c r="A555" s="2" t="s">
        <v>1130</v>
      </c>
      <c r="B555" s="2" t="s">
        <v>1131</v>
      </c>
      <c r="C555" s="3">
        <v>45216.0</v>
      </c>
      <c r="D555" s="3">
        <v>45228.0</v>
      </c>
      <c r="E555" s="2" t="s">
        <v>29</v>
      </c>
      <c r="F555" s="2">
        <v>3.3</v>
      </c>
      <c r="G555" s="2">
        <v>82.0</v>
      </c>
      <c r="H555" s="2">
        <v>1.0</v>
      </c>
      <c r="I555" s="2">
        <v>50.0</v>
      </c>
      <c r="J555" s="2" t="s">
        <v>15</v>
      </c>
      <c r="K555" s="2" t="s">
        <v>16</v>
      </c>
      <c r="L555" s="2">
        <v>0.0</v>
      </c>
    </row>
    <row r="556">
      <c r="A556" s="2" t="s">
        <v>1132</v>
      </c>
      <c r="B556" s="2" t="s">
        <v>1133</v>
      </c>
      <c r="C556" s="3">
        <v>44978.0</v>
      </c>
      <c r="D556" s="3">
        <v>44990.0</v>
      </c>
      <c r="E556" s="2" t="s">
        <v>22</v>
      </c>
      <c r="F556" s="2">
        <v>3.0</v>
      </c>
      <c r="G556" s="2">
        <v>6.0</v>
      </c>
      <c r="H556" s="2">
        <v>1.0</v>
      </c>
      <c r="I556" s="2">
        <v>47.0</v>
      </c>
      <c r="J556" s="2" t="s">
        <v>35</v>
      </c>
      <c r="K556" s="2" t="s">
        <v>26</v>
      </c>
      <c r="L556" s="2">
        <v>1.0</v>
      </c>
    </row>
    <row r="557">
      <c r="A557" s="2" t="s">
        <v>1134</v>
      </c>
      <c r="B557" s="2" t="s">
        <v>1135</v>
      </c>
      <c r="C557" s="3">
        <v>45252.0</v>
      </c>
      <c r="D557" s="3">
        <v>45264.0</v>
      </c>
      <c r="E557" s="2" t="s">
        <v>29</v>
      </c>
      <c r="F557" s="2">
        <v>1.0</v>
      </c>
      <c r="G557" s="2">
        <v>68.0</v>
      </c>
      <c r="H557" s="2">
        <v>1.0</v>
      </c>
      <c r="I557" s="2">
        <v>17.0</v>
      </c>
      <c r="J557" s="2" t="s">
        <v>15</v>
      </c>
      <c r="K557" s="2" t="s">
        <v>47</v>
      </c>
      <c r="L557" s="2">
        <v>1.0</v>
      </c>
    </row>
    <row r="558">
      <c r="A558" s="2" t="s">
        <v>1136</v>
      </c>
      <c r="B558" s="2" t="s">
        <v>1137</v>
      </c>
      <c r="C558" s="3">
        <v>45008.0</v>
      </c>
      <c r="D558" s="3">
        <v>45020.0</v>
      </c>
      <c r="E558" s="2" t="s">
        <v>14</v>
      </c>
      <c r="F558" s="2">
        <v>1.5</v>
      </c>
      <c r="G558" s="2">
        <v>56.0</v>
      </c>
      <c r="H558" s="2">
        <v>0.0</v>
      </c>
      <c r="I558" s="2">
        <v>20.0</v>
      </c>
      <c r="J558" s="2" t="s">
        <v>23</v>
      </c>
      <c r="K558" s="2" t="s">
        <v>47</v>
      </c>
      <c r="L558" s="2">
        <v>1.0</v>
      </c>
    </row>
    <row r="559">
      <c r="A559" s="2" t="s">
        <v>1138</v>
      </c>
      <c r="B559" s="2" t="s">
        <v>1139</v>
      </c>
      <c r="C559" s="3">
        <v>45193.0</v>
      </c>
      <c r="D559" s="3">
        <v>45205.0</v>
      </c>
      <c r="E559" s="2" t="s">
        <v>29</v>
      </c>
      <c r="F559" s="2">
        <v>0.8</v>
      </c>
      <c r="G559" s="2">
        <v>14.0</v>
      </c>
      <c r="H559" s="2">
        <v>1.0</v>
      </c>
      <c r="I559" s="2">
        <v>24.0</v>
      </c>
      <c r="J559" s="2" t="s">
        <v>15</v>
      </c>
      <c r="K559" s="2" t="s">
        <v>26</v>
      </c>
      <c r="L559" s="2">
        <v>1.0</v>
      </c>
    </row>
    <row r="560">
      <c r="A560" s="2" t="s">
        <v>1140</v>
      </c>
      <c r="B560" s="2" t="s">
        <v>1141</v>
      </c>
      <c r="C560" s="3">
        <v>45131.0</v>
      </c>
      <c r="D560" s="3">
        <v>45143.0</v>
      </c>
      <c r="E560" s="2" t="s">
        <v>29</v>
      </c>
      <c r="F560" s="2">
        <v>0.6</v>
      </c>
      <c r="G560" s="2">
        <v>1.0</v>
      </c>
      <c r="H560" s="2">
        <v>1.0</v>
      </c>
      <c r="I560" s="2">
        <v>51.0</v>
      </c>
      <c r="J560" s="2" t="s">
        <v>35</v>
      </c>
      <c r="K560" s="2" t="s">
        <v>26</v>
      </c>
      <c r="L560" s="2">
        <v>1.0</v>
      </c>
    </row>
    <row r="561">
      <c r="A561" s="2" t="s">
        <v>1142</v>
      </c>
      <c r="B561" s="2" t="s">
        <v>1143</v>
      </c>
      <c r="C561" s="3">
        <v>44968.0</v>
      </c>
      <c r="D561" s="3">
        <v>44980.0</v>
      </c>
      <c r="E561" s="2" t="s">
        <v>14</v>
      </c>
      <c r="F561" s="2">
        <v>0.0</v>
      </c>
      <c r="G561" s="2">
        <v>52.0</v>
      </c>
      <c r="H561" s="2">
        <v>1.0</v>
      </c>
      <c r="I561" s="2">
        <v>28.0</v>
      </c>
      <c r="J561" s="2" t="s">
        <v>23</v>
      </c>
      <c r="K561" s="2" t="s">
        <v>47</v>
      </c>
      <c r="L561" s="2">
        <v>1.0</v>
      </c>
    </row>
    <row r="562">
      <c r="A562" s="2" t="s">
        <v>1144</v>
      </c>
      <c r="B562" s="2" t="s">
        <v>1145</v>
      </c>
      <c r="C562" s="3">
        <v>45186.0</v>
      </c>
      <c r="D562" s="3">
        <v>45198.0</v>
      </c>
      <c r="E562" s="2" t="s">
        <v>38</v>
      </c>
      <c r="F562" s="2">
        <v>3.4</v>
      </c>
      <c r="G562" s="2">
        <v>80.0</v>
      </c>
      <c r="H562" s="2">
        <v>1.0</v>
      </c>
      <c r="I562" s="2">
        <v>15.0</v>
      </c>
      <c r="J562" s="2" t="s">
        <v>19</v>
      </c>
      <c r="K562" s="2" t="s">
        <v>16</v>
      </c>
      <c r="L562" s="2">
        <v>0.0</v>
      </c>
    </row>
    <row r="563">
      <c r="A563" s="2" t="s">
        <v>1146</v>
      </c>
      <c r="B563" s="2" t="s">
        <v>1147</v>
      </c>
      <c r="C563" s="3">
        <v>45159.0</v>
      </c>
      <c r="D563" s="3">
        <v>45171.0</v>
      </c>
      <c r="E563" s="2" t="s">
        <v>22</v>
      </c>
      <c r="F563" s="2">
        <v>4.4</v>
      </c>
      <c r="G563" s="2">
        <v>61.0</v>
      </c>
      <c r="H563" s="2">
        <v>1.0</v>
      </c>
      <c r="I563" s="2">
        <v>52.0</v>
      </c>
      <c r="J563" s="2" t="s">
        <v>19</v>
      </c>
      <c r="K563" s="2" t="s">
        <v>16</v>
      </c>
      <c r="L563" s="2">
        <v>1.0</v>
      </c>
    </row>
    <row r="564">
      <c r="A564" s="2" t="s">
        <v>1148</v>
      </c>
      <c r="B564" s="2" t="s">
        <v>1149</v>
      </c>
      <c r="C564" s="3">
        <v>45153.0</v>
      </c>
      <c r="D564" s="3">
        <v>45165.0</v>
      </c>
      <c r="E564" s="2" t="s">
        <v>22</v>
      </c>
      <c r="F564" s="2">
        <v>2.7</v>
      </c>
      <c r="G564" s="2">
        <v>42.0</v>
      </c>
      <c r="H564" s="2">
        <v>1.0</v>
      </c>
      <c r="I564" s="2">
        <v>39.0</v>
      </c>
      <c r="J564" s="2" t="s">
        <v>15</v>
      </c>
      <c r="K564" s="2" t="s">
        <v>47</v>
      </c>
      <c r="L564" s="2">
        <v>0.0</v>
      </c>
    </row>
    <row r="565">
      <c r="A565" s="2" t="s">
        <v>1150</v>
      </c>
      <c r="B565" s="2" t="s">
        <v>1151</v>
      </c>
      <c r="C565" s="3">
        <v>45277.0</v>
      </c>
      <c r="D565" s="3">
        <v>45289.0</v>
      </c>
      <c r="E565" s="2" t="s">
        <v>38</v>
      </c>
      <c r="F565" s="2">
        <v>3.7</v>
      </c>
      <c r="G565" s="2">
        <v>38.0</v>
      </c>
      <c r="H565" s="2">
        <v>0.0</v>
      </c>
      <c r="I565" s="2">
        <v>40.0</v>
      </c>
      <c r="J565" s="2" t="s">
        <v>19</v>
      </c>
      <c r="K565" s="2" t="s">
        <v>26</v>
      </c>
      <c r="L565" s="2">
        <v>1.0</v>
      </c>
    </row>
    <row r="566">
      <c r="A566" s="2" t="s">
        <v>1152</v>
      </c>
      <c r="B566" s="2" t="s">
        <v>1153</v>
      </c>
      <c r="C566" s="3">
        <v>45061.0</v>
      </c>
      <c r="D566" s="3">
        <v>45073.0</v>
      </c>
      <c r="E566" s="2" t="s">
        <v>14</v>
      </c>
      <c r="F566" s="2">
        <v>4.2</v>
      </c>
      <c r="G566" s="2">
        <v>30.0</v>
      </c>
      <c r="H566" s="2">
        <v>0.0</v>
      </c>
      <c r="I566" s="2">
        <v>27.0</v>
      </c>
      <c r="J566" s="2" t="s">
        <v>15</v>
      </c>
      <c r="K566" s="2" t="s">
        <v>16</v>
      </c>
      <c r="L566" s="2">
        <v>0.0</v>
      </c>
    </row>
    <row r="567">
      <c r="A567" s="2" t="s">
        <v>1154</v>
      </c>
      <c r="B567" s="2" t="s">
        <v>1155</v>
      </c>
      <c r="C567" s="3">
        <v>45247.0</v>
      </c>
      <c r="D567" s="3">
        <v>45259.0</v>
      </c>
      <c r="E567" s="2" t="s">
        <v>38</v>
      </c>
      <c r="F567" s="2">
        <v>3.3</v>
      </c>
      <c r="G567" s="2">
        <v>31.0</v>
      </c>
      <c r="H567" s="2">
        <v>1.0</v>
      </c>
      <c r="I567" s="2">
        <v>30.0</v>
      </c>
      <c r="J567" s="2" t="s">
        <v>23</v>
      </c>
      <c r="K567" s="2" t="s">
        <v>47</v>
      </c>
      <c r="L567" s="2">
        <v>1.0</v>
      </c>
    </row>
    <row r="568">
      <c r="A568" s="2" t="s">
        <v>1156</v>
      </c>
      <c r="B568" s="2" t="s">
        <v>1157</v>
      </c>
      <c r="C568" s="3">
        <v>44931.0</v>
      </c>
      <c r="D568" s="3">
        <v>44943.0</v>
      </c>
      <c r="E568" s="2" t="s">
        <v>29</v>
      </c>
      <c r="F568" s="2">
        <v>4.5</v>
      </c>
      <c r="G568" s="2">
        <v>18.0</v>
      </c>
      <c r="H568" s="2">
        <v>1.0</v>
      </c>
      <c r="I568" s="2">
        <v>49.0</v>
      </c>
      <c r="J568" s="2" t="s">
        <v>35</v>
      </c>
      <c r="K568" s="2" t="s">
        <v>26</v>
      </c>
      <c r="L568" s="2">
        <v>0.0</v>
      </c>
    </row>
    <row r="569">
      <c r="A569" s="2" t="s">
        <v>1158</v>
      </c>
      <c r="B569" s="2" t="s">
        <v>1159</v>
      </c>
      <c r="C569" s="3">
        <v>45059.0</v>
      </c>
      <c r="D569" s="3">
        <v>45071.0</v>
      </c>
      <c r="E569" s="2" t="s">
        <v>22</v>
      </c>
      <c r="F569" s="2">
        <v>3.0</v>
      </c>
      <c r="G569" s="2">
        <v>87.0</v>
      </c>
      <c r="H569" s="2">
        <v>0.0</v>
      </c>
      <c r="I569" s="2">
        <v>31.0</v>
      </c>
      <c r="J569" s="2" t="s">
        <v>35</v>
      </c>
      <c r="K569" s="2" t="s">
        <v>47</v>
      </c>
      <c r="L569" s="2">
        <v>0.0</v>
      </c>
    </row>
    <row r="570">
      <c r="A570" s="2" t="s">
        <v>1160</v>
      </c>
      <c r="B570" s="2" t="s">
        <v>1161</v>
      </c>
      <c r="C570" s="3">
        <v>44990.0</v>
      </c>
      <c r="D570" s="3">
        <v>45002.0</v>
      </c>
      <c r="E570" s="2" t="s">
        <v>14</v>
      </c>
      <c r="F570" s="2">
        <v>0.7</v>
      </c>
      <c r="G570" s="2">
        <v>65.0</v>
      </c>
      <c r="H570" s="2">
        <v>0.0</v>
      </c>
      <c r="I570" s="2">
        <v>53.0</v>
      </c>
      <c r="J570" s="2" t="s">
        <v>15</v>
      </c>
      <c r="K570" s="2" t="s">
        <v>47</v>
      </c>
      <c r="L570" s="2">
        <v>1.0</v>
      </c>
    </row>
    <row r="571">
      <c r="A571" s="2" t="s">
        <v>1162</v>
      </c>
      <c r="B571" s="2" t="s">
        <v>1163</v>
      </c>
      <c r="C571" s="3">
        <v>45163.0</v>
      </c>
      <c r="D571" s="3">
        <v>45175.0</v>
      </c>
      <c r="E571" s="2" t="s">
        <v>22</v>
      </c>
      <c r="F571" s="2">
        <v>1.0</v>
      </c>
      <c r="G571" s="2">
        <v>8.0</v>
      </c>
      <c r="H571" s="2">
        <v>1.0</v>
      </c>
      <c r="I571" s="2">
        <v>56.0</v>
      </c>
      <c r="J571" s="2" t="s">
        <v>19</v>
      </c>
      <c r="K571" s="2" t="s">
        <v>16</v>
      </c>
      <c r="L571" s="2">
        <v>1.0</v>
      </c>
    </row>
    <row r="572">
      <c r="A572" s="2" t="s">
        <v>1164</v>
      </c>
      <c r="B572" s="2" t="s">
        <v>1165</v>
      </c>
      <c r="C572" s="3">
        <v>45269.0</v>
      </c>
      <c r="D572" s="3">
        <v>45281.0</v>
      </c>
      <c r="E572" s="2" t="s">
        <v>29</v>
      </c>
      <c r="F572" s="2">
        <v>2.1</v>
      </c>
      <c r="G572" s="2">
        <v>99.0</v>
      </c>
      <c r="H572" s="2">
        <v>1.0</v>
      </c>
      <c r="I572" s="2">
        <v>25.0</v>
      </c>
      <c r="J572" s="2" t="s">
        <v>32</v>
      </c>
      <c r="K572" s="2" t="s">
        <v>47</v>
      </c>
      <c r="L572" s="2">
        <v>1.0</v>
      </c>
    </row>
    <row r="573">
      <c r="A573" s="2" t="s">
        <v>1166</v>
      </c>
      <c r="B573" s="2" t="s">
        <v>1167</v>
      </c>
      <c r="C573" s="3">
        <v>45205.0</v>
      </c>
      <c r="D573" s="3">
        <v>45217.0</v>
      </c>
      <c r="E573" s="2" t="s">
        <v>38</v>
      </c>
      <c r="F573" s="2">
        <v>2.5</v>
      </c>
      <c r="G573" s="2">
        <v>48.0</v>
      </c>
      <c r="H573" s="2">
        <v>0.0</v>
      </c>
      <c r="I573" s="2">
        <v>37.0</v>
      </c>
      <c r="J573" s="2" t="s">
        <v>15</v>
      </c>
      <c r="K573" s="2" t="s">
        <v>26</v>
      </c>
      <c r="L573" s="2">
        <v>0.0</v>
      </c>
    </row>
    <row r="574">
      <c r="A574" s="2" t="s">
        <v>1168</v>
      </c>
      <c r="B574" s="2" t="s">
        <v>1169</v>
      </c>
      <c r="C574" s="3">
        <v>45014.0</v>
      </c>
      <c r="D574" s="3">
        <v>45026.0</v>
      </c>
      <c r="E574" s="2" t="s">
        <v>22</v>
      </c>
      <c r="F574" s="2">
        <v>2.3</v>
      </c>
      <c r="G574" s="2">
        <v>97.0</v>
      </c>
      <c r="H574" s="2">
        <v>0.0</v>
      </c>
      <c r="I574" s="2">
        <v>34.0</v>
      </c>
      <c r="J574" s="2" t="s">
        <v>19</v>
      </c>
      <c r="K574" s="2" t="s">
        <v>26</v>
      </c>
      <c r="L574" s="2">
        <v>1.0</v>
      </c>
    </row>
    <row r="575">
      <c r="A575" s="2" t="s">
        <v>1170</v>
      </c>
      <c r="B575" s="2" t="s">
        <v>1171</v>
      </c>
      <c r="C575" s="3">
        <v>45232.0</v>
      </c>
      <c r="D575" s="3">
        <v>45244.0</v>
      </c>
      <c r="E575" s="2" t="s">
        <v>14</v>
      </c>
      <c r="F575" s="2">
        <v>4.1</v>
      </c>
      <c r="G575" s="2">
        <v>94.0</v>
      </c>
      <c r="H575" s="2">
        <v>1.0</v>
      </c>
      <c r="I575" s="2">
        <v>22.0</v>
      </c>
      <c r="J575" s="2" t="s">
        <v>19</v>
      </c>
      <c r="K575" s="2" t="s">
        <v>26</v>
      </c>
      <c r="L575" s="2">
        <v>0.0</v>
      </c>
    </row>
    <row r="576">
      <c r="A576" s="2" t="s">
        <v>1172</v>
      </c>
      <c r="B576" s="2" t="s">
        <v>1173</v>
      </c>
      <c r="C576" s="3">
        <v>45209.0</v>
      </c>
      <c r="D576" s="3">
        <v>45221.0</v>
      </c>
      <c r="E576" s="2" t="s">
        <v>29</v>
      </c>
      <c r="F576" s="2">
        <v>2.4</v>
      </c>
      <c r="G576" s="2">
        <v>7.0</v>
      </c>
      <c r="H576" s="2">
        <v>0.0</v>
      </c>
      <c r="I576" s="2">
        <v>41.0</v>
      </c>
      <c r="J576" s="2" t="s">
        <v>23</v>
      </c>
      <c r="K576" s="2" t="s">
        <v>16</v>
      </c>
      <c r="L576" s="2">
        <v>0.0</v>
      </c>
    </row>
    <row r="577">
      <c r="A577" s="2" t="s">
        <v>1174</v>
      </c>
      <c r="B577" s="2" t="s">
        <v>1175</v>
      </c>
      <c r="C577" s="3">
        <v>45045.0</v>
      </c>
      <c r="D577" s="3">
        <v>45057.0</v>
      </c>
      <c r="E577" s="2" t="s">
        <v>29</v>
      </c>
      <c r="F577" s="2">
        <v>2.0</v>
      </c>
      <c r="G577" s="2">
        <v>95.0</v>
      </c>
      <c r="H577" s="2">
        <v>0.0</v>
      </c>
      <c r="I577" s="2">
        <v>54.0</v>
      </c>
      <c r="J577" s="2" t="s">
        <v>35</v>
      </c>
      <c r="K577" s="2" t="s">
        <v>47</v>
      </c>
      <c r="L577" s="2">
        <v>0.0</v>
      </c>
    </row>
    <row r="578">
      <c r="A578" s="2" t="s">
        <v>1176</v>
      </c>
      <c r="B578" s="2" t="s">
        <v>1177</v>
      </c>
      <c r="C578" s="3">
        <v>45239.0</v>
      </c>
      <c r="D578" s="3">
        <v>45251.0</v>
      </c>
      <c r="E578" s="2" t="s">
        <v>38</v>
      </c>
      <c r="F578" s="2">
        <v>4.9</v>
      </c>
      <c r="G578" s="2">
        <v>63.0</v>
      </c>
      <c r="H578" s="2">
        <v>0.0</v>
      </c>
      <c r="I578" s="2">
        <v>46.0</v>
      </c>
      <c r="J578" s="2" t="s">
        <v>35</v>
      </c>
      <c r="K578" s="2" t="s">
        <v>47</v>
      </c>
      <c r="L578" s="2">
        <v>0.0</v>
      </c>
    </row>
    <row r="579">
      <c r="A579" s="2" t="s">
        <v>1178</v>
      </c>
      <c r="B579" s="2" t="s">
        <v>1179</v>
      </c>
      <c r="C579" s="3">
        <v>45066.0</v>
      </c>
      <c r="D579" s="3">
        <v>45078.0</v>
      </c>
      <c r="E579" s="2" t="s">
        <v>38</v>
      </c>
      <c r="F579" s="2">
        <v>3.4</v>
      </c>
      <c r="G579" s="2">
        <v>36.0</v>
      </c>
      <c r="H579" s="2">
        <v>1.0</v>
      </c>
      <c r="I579" s="2">
        <v>35.0</v>
      </c>
      <c r="J579" s="2" t="s">
        <v>35</v>
      </c>
      <c r="K579" s="2" t="s">
        <v>16</v>
      </c>
      <c r="L579" s="2">
        <v>1.0</v>
      </c>
    </row>
    <row r="580">
      <c r="A580" s="2" t="s">
        <v>1180</v>
      </c>
      <c r="B580" s="2" t="s">
        <v>1181</v>
      </c>
      <c r="C580" s="3">
        <v>44939.0</v>
      </c>
      <c r="D580" s="3">
        <v>44951.0</v>
      </c>
      <c r="E580" s="2" t="s">
        <v>38</v>
      </c>
      <c r="F580" s="2">
        <v>1.9</v>
      </c>
      <c r="G580" s="2">
        <v>70.0</v>
      </c>
      <c r="H580" s="2">
        <v>0.0</v>
      </c>
      <c r="I580" s="2">
        <v>38.0</v>
      </c>
      <c r="J580" s="2" t="s">
        <v>35</v>
      </c>
      <c r="K580" s="2" t="s">
        <v>26</v>
      </c>
      <c r="L580" s="2">
        <v>1.0</v>
      </c>
    </row>
    <row r="581">
      <c r="A581" s="2" t="s">
        <v>1182</v>
      </c>
      <c r="B581" s="2" t="s">
        <v>1183</v>
      </c>
      <c r="C581" s="3">
        <v>44929.0</v>
      </c>
      <c r="D581" s="3">
        <v>44941.0</v>
      </c>
      <c r="E581" s="2" t="s">
        <v>38</v>
      </c>
      <c r="F581" s="2">
        <v>0.6</v>
      </c>
      <c r="G581" s="2">
        <v>47.0</v>
      </c>
      <c r="H581" s="2">
        <v>0.0</v>
      </c>
      <c r="I581" s="2">
        <v>36.0</v>
      </c>
      <c r="J581" s="2" t="s">
        <v>19</v>
      </c>
      <c r="K581" s="2" t="s">
        <v>26</v>
      </c>
      <c r="L581" s="2">
        <v>0.0</v>
      </c>
    </row>
    <row r="582">
      <c r="A582" s="2" t="s">
        <v>1184</v>
      </c>
      <c r="B582" s="2" t="s">
        <v>1185</v>
      </c>
      <c r="C582" s="3">
        <v>45018.0</v>
      </c>
      <c r="D582" s="3">
        <v>45030.0</v>
      </c>
      <c r="E582" s="2" t="s">
        <v>22</v>
      </c>
      <c r="F582" s="2">
        <v>2.8</v>
      </c>
      <c r="G582" s="2">
        <v>37.0</v>
      </c>
      <c r="H582" s="2">
        <v>1.0</v>
      </c>
      <c r="I582" s="2">
        <v>14.0</v>
      </c>
      <c r="J582" s="2" t="s">
        <v>15</v>
      </c>
      <c r="K582" s="2" t="s">
        <v>26</v>
      </c>
      <c r="L582" s="2">
        <v>0.0</v>
      </c>
    </row>
    <row r="583">
      <c r="A583" s="2" t="s">
        <v>1186</v>
      </c>
      <c r="B583" s="2" t="s">
        <v>1187</v>
      </c>
      <c r="C583" s="3">
        <v>45131.0</v>
      </c>
      <c r="D583" s="3">
        <v>45143.0</v>
      </c>
      <c r="E583" s="2" t="s">
        <v>14</v>
      </c>
      <c r="F583" s="2">
        <v>0.9</v>
      </c>
      <c r="G583" s="2">
        <v>51.0</v>
      </c>
      <c r="H583" s="2">
        <v>1.0</v>
      </c>
      <c r="I583" s="2">
        <v>12.0</v>
      </c>
      <c r="J583" s="2" t="s">
        <v>35</v>
      </c>
      <c r="K583" s="2" t="s">
        <v>47</v>
      </c>
      <c r="L583" s="2">
        <v>1.0</v>
      </c>
    </row>
    <row r="584">
      <c r="A584" s="2" t="s">
        <v>1188</v>
      </c>
      <c r="B584" s="2" t="s">
        <v>1189</v>
      </c>
      <c r="C584" s="3">
        <v>45044.0</v>
      </c>
      <c r="D584" s="3">
        <v>45056.0</v>
      </c>
      <c r="E584" s="2" t="s">
        <v>14</v>
      </c>
      <c r="F584" s="2">
        <v>0.8</v>
      </c>
      <c r="G584" s="2">
        <v>26.0</v>
      </c>
      <c r="H584" s="2">
        <v>1.0</v>
      </c>
      <c r="I584" s="2">
        <v>16.0</v>
      </c>
      <c r="J584" s="2" t="s">
        <v>15</v>
      </c>
      <c r="K584" s="2" t="s">
        <v>16</v>
      </c>
      <c r="L584" s="2">
        <v>0.0</v>
      </c>
    </row>
    <row r="585">
      <c r="A585" s="2" t="s">
        <v>1190</v>
      </c>
      <c r="B585" s="2" t="s">
        <v>1191</v>
      </c>
      <c r="C585" s="3">
        <v>45048.0</v>
      </c>
      <c r="D585" s="3">
        <v>45060.0</v>
      </c>
      <c r="E585" s="2" t="s">
        <v>29</v>
      </c>
      <c r="F585" s="2">
        <v>3.5</v>
      </c>
      <c r="G585" s="2">
        <v>93.0</v>
      </c>
      <c r="H585" s="2">
        <v>1.0</v>
      </c>
      <c r="I585" s="2">
        <v>18.0</v>
      </c>
      <c r="J585" s="2" t="s">
        <v>15</v>
      </c>
      <c r="K585" s="2" t="s">
        <v>26</v>
      </c>
      <c r="L585" s="2">
        <v>1.0</v>
      </c>
    </row>
    <row r="586">
      <c r="A586" s="2" t="s">
        <v>1192</v>
      </c>
      <c r="B586" s="2" t="s">
        <v>1193</v>
      </c>
      <c r="C586" s="3">
        <v>45048.0</v>
      </c>
      <c r="D586" s="3">
        <v>45060.0</v>
      </c>
      <c r="E586" s="2" t="s">
        <v>14</v>
      </c>
      <c r="F586" s="2">
        <v>0.5</v>
      </c>
      <c r="G586" s="2">
        <v>5.0</v>
      </c>
      <c r="H586" s="2">
        <v>1.0</v>
      </c>
      <c r="I586" s="2">
        <v>55.0</v>
      </c>
      <c r="J586" s="2" t="s">
        <v>19</v>
      </c>
      <c r="K586" s="2" t="s">
        <v>47</v>
      </c>
      <c r="L586" s="2">
        <v>1.0</v>
      </c>
    </row>
    <row r="587">
      <c r="A587" s="2" t="s">
        <v>1194</v>
      </c>
      <c r="B587" s="2" t="s">
        <v>1195</v>
      </c>
      <c r="C587" s="3">
        <v>45160.0</v>
      </c>
      <c r="D587" s="3">
        <v>45172.0</v>
      </c>
      <c r="E587" s="2" t="s">
        <v>22</v>
      </c>
      <c r="F587" s="2">
        <v>3.8</v>
      </c>
      <c r="G587" s="2">
        <v>4.0</v>
      </c>
      <c r="H587" s="2">
        <v>1.0</v>
      </c>
      <c r="I587" s="2">
        <v>38.0</v>
      </c>
      <c r="J587" s="2" t="s">
        <v>15</v>
      </c>
      <c r="K587" s="2" t="s">
        <v>47</v>
      </c>
      <c r="L587" s="2">
        <v>0.0</v>
      </c>
    </row>
    <row r="588">
      <c r="A588" s="2" t="s">
        <v>1196</v>
      </c>
      <c r="B588" s="2" t="s">
        <v>1197</v>
      </c>
      <c r="C588" s="3">
        <v>44962.0</v>
      </c>
      <c r="D588" s="3">
        <v>44974.0</v>
      </c>
      <c r="E588" s="2" t="s">
        <v>14</v>
      </c>
      <c r="F588" s="2">
        <v>4.0</v>
      </c>
      <c r="G588" s="2">
        <v>15.0</v>
      </c>
      <c r="H588" s="2">
        <v>0.0</v>
      </c>
      <c r="I588" s="2">
        <v>44.0</v>
      </c>
      <c r="J588" s="2" t="s">
        <v>19</v>
      </c>
      <c r="K588" s="2" t="s">
        <v>26</v>
      </c>
      <c r="L588" s="2">
        <v>0.0</v>
      </c>
    </row>
    <row r="589">
      <c r="A589" s="2" t="s">
        <v>1198</v>
      </c>
      <c r="B589" s="2" t="s">
        <v>1199</v>
      </c>
      <c r="C589" s="3">
        <v>45055.0</v>
      </c>
      <c r="D589" s="3">
        <v>45067.0</v>
      </c>
      <c r="E589" s="2" t="s">
        <v>38</v>
      </c>
      <c r="F589" s="2">
        <v>0.4</v>
      </c>
      <c r="G589" s="2">
        <v>33.0</v>
      </c>
      <c r="H589" s="2">
        <v>0.0</v>
      </c>
      <c r="I589" s="2">
        <v>18.0</v>
      </c>
      <c r="J589" s="2" t="s">
        <v>32</v>
      </c>
      <c r="K589" s="2" t="s">
        <v>26</v>
      </c>
      <c r="L589" s="2">
        <v>0.0</v>
      </c>
    </row>
    <row r="590">
      <c r="A590" s="2" t="s">
        <v>1200</v>
      </c>
      <c r="B590" s="2" t="s">
        <v>1201</v>
      </c>
      <c r="C590" s="3">
        <v>45244.0</v>
      </c>
      <c r="D590" s="3">
        <v>45256.0</v>
      </c>
      <c r="E590" s="2" t="s">
        <v>29</v>
      </c>
      <c r="F590" s="2">
        <v>3.1</v>
      </c>
      <c r="G590" s="2">
        <v>84.0</v>
      </c>
      <c r="H590" s="2">
        <v>0.0</v>
      </c>
      <c r="I590" s="2">
        <v>36.0</v>
      </c>
      <c r="J590" s="2" t="s">
        <v>19</v>
      </c>
      <c r="K590" s="2" t="s">
        <v>47</v>
      </c>
      <c r="L590" s="2">
        <v>1.0</v>
      </c>
    </row>
    <row r="591">
      <c r="A591" s="2" t="s">
        <v>1202</v>
      </c>
      <c r="B591" s="2" t="s">
        <v>1203</v>
      </c>
      <c r="C591" s="3">
        <v>45004.0</v>
      </c>
      <c r="D591" s="3">
        <v>45016.0</v>
      </c>
      <c r="E591" s="2" t="s">
        <v>14</v>
      </c>
      <c r="F591" s="2">
        <v>0.0</v>
      </c>
      <c r="G591" s="2">
        <v>32.0</v>
      </c>
      <c r="H591" s="2">
        <v>1.0</v>
      </c>
      <c r="I591" s="2">
        <v>26.0</v>
      </c>
      <c r="J591" s="2" t="s">
        <v>35</v>
      </c>
      <c r="K591" s="2" t="s">
        <v>16</v>
      </c>
      <c r="L591" s="2">
        <v>1.0</v>
      </c>
    </row>
    <row r="592">
      <c r="A592" s="2" t="s">
        <v>1204</v>
      </c>
      <c r="B592" s="2" t="s">
        <v>1205</v>
      </c>
      <c r="C592" s="3">
        <v>45028.0</v>
      </c>
      <c r="D592" s="3">
        <v>45040.0</v>
      </c>
      <c r="E592" s="2" t="s">
        <v>14</v>
      </c>
      <c r="F592" s="2">
        <v>4.3</v>
      </c>
      <c r="G592" s="2">
        <v>12.0</v>
      </c>
      <c r="H592" s="2">
        <v>1.0</v>
      </c>
      <c r="I592" s="2">
        <v>55.0</v>
      </c>
      <c r="J592" s="2" t="s">
        <v>35</v>
      </c>
      <c r="K592" s="2" t="s">
        <v>16</v>
      </c>
      <c r="L592" s="2">
        <v>1.0</v>
      </c>
    </row>
    <row r="593">
      <c r="A593" s="2" t="s">
        <v>1206</v>
      </c>
      <c r="B593" s="2" t="s">
        <v>1207</v>
      </c>
      <c r="C593" s="3">
        <v>44937.0</v>
      </c>
      <c r="D593" s="3">
        <v>44949.0</v>
      </c>
      <c r="E593" s="2" t="s">
        <v>29</v>
      </c>
      <c r="F593" s="2">
        <v>1.6</v>
      </c>
      <c r="G593" s="2">
        <v>53.0</v>
      </c>
      <c r="H593" s="2">
        <v>0.0</v>
      </c>
      <c r="I593" s="2">
        <v>31.0</v>
      </c>
      <c r="J593" s="2" t="s">
        <v>23</v>
      </c>
      <c r="K593" s="2" t="s">
        <v>16</v>
      </c>
      <c r="L593" s="2">
        <v>0.0</v>
      </c>
    </row>
    <row r="594">
      <c r="A594" s="2" t="s">
        <v>1208</v>
      </c>
      <c r="B594" s="2" t="s">
        <v>1209</v>
      </c>
      <c r="C594" s="3">
        <v>45202.0</v>
      </c>
      <c r="D594" s="3">
        <v>45214.0</v>
      </c>
      <c r="E594" s="2" t="s">
        <v>14</v>
      </c>
      <c r="F594" s="2">
        <v>5.0</v>
      </c>
      <c r="G594" s="2">
        <v>90.0</v>
      </c>
      <c r="H594" s="2">
        <v>0.0</v>
      </c>
      <c r="I594" s="2">
        <v>45.0</v>
      </c>
      <c r="J594" s="2" t="s">
        <v>15</v>
      </c>
      <c r="K594" s="2" t="s">
        <v>26</v>
      </c>
      <c r="L594" s="2">
        <v>1.0</v>
      </c>
    </row>
    <row r="595">
      <c r="A595" s="2" t="s">
        <v>1210</v>
      </c>
      <c r="B595" s="2" t="s">
        <v>1211</v>
      </c>
      <c r="C595" s="3">
        <v>45163.0</v>
      </c>
      <c r="D595" s="3">
        <v>45175.0</v>
      </c>
      <c r="E595" s="2" t="s">
        <v>29</v>
      </c>
      <c r="F595" s="2">
        <v>1.8</v>
      </c>
      <c r="G595" s="2">
        <v>22.0</v>
      </c>
      <c r="H595" s="2">
        <v>0.0</v>
      </c>
      <c r="I595" s="2">
        <v>52.0</v>
      </c>
      <c r="J595" s="2" t="s">
        <v>23</v>
      </c>
      <c r="K595" s="2" t="s">
        <v>16</v>
      </c>
      <c r="L595" s="2">
        <v>0.0</v>
      </c>
    </row>
    <row r="596">
      <c r="A596" s="2" t="s">
        <v>1212</v>
      </c>
      <c r="B596" s="2" t="s">
        <v>1213</v>
      </c>
      <c r="C596" s="3">
        <v>45082.0</v>
      </c>
      <c r="D596" s="3">
        <v>45094.0</v>
      </c>
      <c r="E596" s="2" t="s">
        <v>38</v>
      </c>
      <c r="F596" s="2">
        <v>0.3</v>
      </c>
      <c r="G596" s="2">
        <v>11.0</v>
      </c>
      <c r="H596" s="2">
        <v>1.0</v>
      </c>
      <c r="I596" s="2">
        <v>34.0</v>
      </c>
      <c r="J596" s="2" t="s">
        <v>19</v>
      </c>
      <c r="K596" s="2" t="s">
        <v>47</v>
      </c>
      <c r="L596" s="2">
        <v>1.0</v>
      </c>
    </row>
    <row r="597">
      <c r="A597" s="2" t="s">
        <v>1214</v>
      </c>
      <c r="B597" s="2" t="s">
        <v>1215</v>
      </c>
      <c r="C597" s="3">
        <v>45192.0</v>
      </c>
      <c r="D597" s="3">
        <v>45204.0</v>
      </c>
      <c r="E597" s="2" t="s">
        <v>29</v>
      </c>
      <c r="F597" s="2">
        <v>0.2</v>
      </c>
      <c r="G597" s="2">
        <v>49.0</v>
      </c>
      <c r="H597" s="2">
        <v>1.0</v>
      </c>
      <c r="I597" s="2">
        <v>33.0</v>
      </c>
      <c r="J597" s="2" t="s">
        <v>19</v>
      </c>
      <c r="K597" s="2" t="s">
        <v>47</v>
      </c>
      <c r="L597" s="2">
        <v>0.0</v>
      </c>
    </row>
    <row r="598">
      <c r="A598" s="2" t="s">
        <v>1216</v>
      </c>
      <c r="B598" s="2" t="s">
        <v>1217</v>
      </c>
      <c r="C598" s="3">
        <v>45039.0</v>
      </c>
      <c r="D598" s="3">
        <v>45051.0</v>
      </c>
      <c r="E598" s="2" t="s">
        <v>22</v>
      </c>
      <c r="F598" s="2">
        <v>4.7</v>
      </c>
      <c r="G598" s="2">
        <v>88.0</v>
      </c>
      <c r="H598" s="2">
        <v>0.0</v>
      </c>
      <c r="I598" s="2">
        <v>29.0</v>
      </c>
      <c r="J598" s="2" t="s">
        <v>15</v>
      </c>
      <c r="K598" s="2" t="s">
        <v>16</v>
      </c>
      <c r="L598" s="2">
        <v>1.0</v>
      </c>
    </row>
    <row r="599">
      <c r="A599" s="2" t="s">
        <v>1218</v>
      </c>
      <c r="B599" s="2" t="s">
        <v>1219</v>
      </c>
      <c r="C599" s="3">
        <v>45195.0</v>
      </c>
      <c r="D599" s="3">
        <v>45207.0</v>
      </c>
      <c r="E599" s="2" t="s">
        <v>38</v>
      </c>
      <c r="F599" s="2">
        <v>4.8</v>
      </c>
      <c r="G599" s="2">
        <v>21.0</v>
      </c>
      <c r="H599" s="2">
        <v>0.0</v>
      </c>
      <c r="I599" s="2">
        <v>32.0</v>
      </c>
      <c r="J599" s="2" t="s">
        <v>15</v>
      </c>
      <c r="K599" s="2" t="s">
        <v>26</v>
      </c>
      <c r="L599" s="2">
        <v>1.0</v>
      </c>
    </row>
    <row r="600">
      <c r="A600" s="2" t="s">
        <v>1220</v>
      </c>
      <c r="B600" s="2" t="s">
        <v>1221</v>
      </c>
      <c r="C600" s="3">
        <v>45166.0</v>
      </c>
      <c r="D600" s="3">
        <v>45178.0</v>
      </c>
      <c r="E600" s="2" t="s">
        <v>22</v>
      </c>
      <c r="F600" s="2">
        <v>2.6</v>
      </c>
      <c r="G600" s="2">
        <v>41.0</v>
      </c>
      <c r="H600" s="2">
        <v>1.0</v>
      </c>
      <c r="I600" s="2">
        <v>41.0</v>
      </c>
      <c r="J600" s="2" t="s">
        <v>15</v>
      </c>
      <c r="K600" s="2" t="s">
        <v>47</v>
      </c>
      <c r="L600" s="2">
        <v>1.0</v>
      </c>
    </row>
    <row r="601">
      <c r="A601" s="2" t="s">
        <v>1222</v>
      </c>
      <c r="B601" s="2" t="s">
        <v>1223</v>
      </c>
      <c r="C601" s="3">
        <v>45157.0</v>
      </c>
      <c r="D601" s="3">
        <v>45169.0</v>
      </c>
      <c r="E601" s="2" t="s">
        <v>14</v>
      </c>
      <c r="F601" s="2">
        <v>1.7</v>
      </c>
      <c r="H601" s="2">
        <v>0.0</v>
      </c>
      <c r="I601" s="2">
        <v>48.0</v>
      </c>
      <c r="J601" s="2" t="s">
        <v>19</v>
      </c>
      <c r="K601" s="2" t="s">
        <v>26</v>
      </c>
      <c r="L601" s="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88"/>
    <col customWidth="1" min="3" max="4" width="12.38"/>
    <col customWidth="1" min="5" max="5" width="13.38"/>
    <col customWidth="1" min="6" max="6" width="10.88"/>
    <col customWidth="1" min="7" max="7" width="9.88"/>
    <col customWidth="1" min="8" max="8" width="11.5"/>
    <col customWidth="1" min="9" max="9" width="11.88"/>
    <col customWidth="1" min="10" max="10" width="9.0"/>
    <col customWidth="1" min="11" max="11" width="9.63"/>
    <col customWidth="1" min="12" max="12" width="8.63"/>
    <col customWidth="1" min="13" max="13" width="10.88"/>
    <col customWidth="1" min="14" max="14" width="8.63"/>
    <col customWidth="1" min="15" max="15" width="8.25"/>
    <col customWidth="1" min="16" max="16" width="38.75"/>
    <col customWidth="1" min="17" max="17" width="60.13"/>
    <col customWidth="1" min="18" max="18" width="17.88"/>
    <col customWidth="1" min="19" max="19" width="56.75"/>
    <col customWidth="1" min="20" max="20" width="12.38"/>
    <col customWidth="1" min="21" max="21" width="30.88"/>
    <col customWidth="1" min="22" max="23" width="8.13"/>
    <col customWidth="1" min="24" max="24" width="6.13"/>
    <col customWidth="1" min="25" max="25" width="8.75"/>
    <col customWidth="1" min="26" max="26" width="10.5"/>
    <col customWidth="1" min="27" max="27" width="7.13"/>
    <col customWidth="1" min="28" max="28" width="9.25"/>
    <col customWidth="1" min="29" max="29" width="64.63"/>
    <col customWidth="1" min="30" max="33" width="14.63"/>
    <col customWidth="1" min="34" max="34" width="47.13"/>
    <col customWidth="1" min="35" max="35" width="10.88"/>
    <col customWidth="1" min="36" max="36" width="48.5"/>
    <col customWidth="1" min="37" max="37" width="10.75"/>
    <col customWidth="1" min="38" max="38" width="11.13"/>
    <col customWidth="1" min="39" max="39" width="14.0"/>
    <col customWidth="1" min="40" max="40" width="15.0"/>
    <col customWidth="1" min="44" max="44" width="80.38"/>
    <col customWidth="1" min="45" max="45" width="9.75"/>
    <col customWidth="1" min="46" max="46" width="9.38"/>
    <col customWidth="1" min="47" max="48" width="11.25"/>
    <col customWidth="1" min="49" max="49" width="9.38"/>
    <col customWidth="1" min="50" max="50" width="10.25"/>
    <col customWidth="1" min="51" max="52" width="11.25"/>
    <col customWidth="1" min="53" max="54" width="10.25"/>
    <col customWidth="1" min="58" max="58" width="68.0"/>
    <col customWidth="1" min="59" max="59" width="13.38"/>
    <col customWidth="1" min="60" max="60" width="10.88"/>
    <col customWidth="1" min="61" max="61" width="6.13"/>
    <col customWidth="1" min="62" max="62" width="8.38"/>
    <col customWidth="1" min="63" max="63" width="9.63"/>
  </cols>
  <sheetData>
    <row r="1">
      <c r="A1" s="4" t="s">
        <v>0</v>
      </c>
      <c r="B1" s="4" t="s">
        <v>1</v>
      </c>
      <c r="C1" s="5" t="s">
        <v>2</v>
      </c>
      <c r="D1" s="6" t="s">
        <v>1224</v>
      </c>
      <c r="E1" s="5" t="s">
        <v>3</v>
      </c>
      <c r="F1" s="4" t="s">
        <v>4</v>
      </c>
      <c r="G1" s="7" t="s">
        <v>5</v>
      </c>
      <c r="H1" s="8" t="s">
        <v>6</v>
      </c>
      <c r="I1" s="8" t="s">
        <v>7</v>
      </c>
      <c r="J1" s="8" t="s">
        <v>8</v>
      </c>
      <c r="K1" s="4" t="s">
        <v>9</v>
      </c>
      <c r="L1" s="4" t="s">
        <v>10</v>
      </c>
      <c r="M1" s="8" t="s">
        <v>11</v>
      </c>
      <c r="N1" s="9"/>
      <c r="O1" s="10"/>
      <c r="P1" s="11"/>
      <c r="Q1" s="12" t="s">
        <v>1225</v>
      </c>
      <c r="U1" s="13"/>
      <c r="V1" s="14"/>
      <c r="W1" s="15"/>
      <c r="X1" s="16" t="s">
        <v>8</v>
      </c>
      <c r="Y1" s="17" t="s">
        <v>1226</v>
      </c>
      <c r="Z1" s="18" t="s">
        <v>1227</v>
      </c>
      <c r="AA1" s="18" t="s">
        <v>1228</v>
      </c>
      <c r="AB1" s="9" t="s">
        <v>1229</v>
      </c>
      <c r="AC1" s="19" t="s">
        <v>1230</v>
      </c>
      <c r="AH1" s="14"/>
      <c r="AI1" s="14"/>
      <c r="AJ1" s="20" t="s">
        <v>1231</v>
      </c>
      <c r="AM1" s="11"/>
      <c r="AN1" s="11"/>
      <c r="AO1" s="14"/>
      <c r="AP1" s="15"/>
      <c r="AQ1" s="14"/>
      <c r="AR1" s="19" t="s">
        <v>1232</v>
      </c>
      <c r="AW1" s="14"/>
      <c r="AX1" s="14"/>
      <c r="AY1" s="14"/>
      <c r="AZ1" s="14"/>
      <c r="BA1" s="14"/>
      <c r="BB1" s="14"/>
      <c r="BC1" s="14"/>
      <c r="BD1" s="15"/>
      <c r="BE1" s="14"/>
      <c r="BF1" s="19" t="s">
        <v>1233</v>
      </c>
      <c r="BK1" s="14"/>
      <c r="BL1" s="14"/>
    </row>
    <row r="2">
      <c r="A2" s="21" t="s">
        <v>12</v>
      </c>
      <c r="B2" s="21" t="s">
        <v>13</v>
      </c>
      <c r="C2" s="22">
        <v>45115.0</v>
      </c>
      <c r="D2" s="22" t="str">
        <f t="shared" ref="D2:D601" si="1">TEXT(C2, "MM.YYYY")</f>
        <v>07.2023</v>
      </c>
      <c r="E2" s="22">
        <v>45127.0</v>
      </c>
      <c r="F2" s="21" t="s">
        <v>14</v>
      </c>
      <c r="G2" s="23">
        <v>0.2</v>
      </c>
      <c r="H2" s="24">
        <v>14.0</v>
      </c>
      <c r="I2" s="24">
        <v>0.0</v>
      </c>
      <c r="J2" s="24">
        <v>30.0</v>
      </c>
      <c r="K2" s="21" t="s">
        <v>15</v>
      </c>
      <c r="L2" s="21" t="s">
        <v>16</v>
      </c>
      <c r="M2" s="24">
        <v>1.0</v>
      </c>
      <c r="O2" s="11"/>
      <c r="P2" s="11"/>
      <c r="T2" s="27" t="s">
        <v>1236</v>
      </c>
      <c r="U2" s="11"/>
      <c r="V2" s="11"/>
      <c r="X2" s="24">
        <f>IFERROR(__xludf.DUMMYFUNCTION("FILTER(J:J, I:I=1)"),34.0)</f>
        <v>34</v>
      </c>
      <c r="Y2" s="24">
        <f>IFERROR(__xludf.DUMMYFUNCTION("FILTER(J:J, F:F=""Business"", I:I=1)"),34.0)</f>
        <v>34</v>
      </c>
      <c r="Z2" s="24">
        <f>IFERROR(__xludf.DUMMYFUNCTION("FILTER(J:J, F:F=""Data Science"", I:I=1)"),46.0)</f>
        <v>46</v>
      </c>
      <c r="AA2" s="28">
        <f>IFERROR(__xludf.DUMMYFUNCTION("FILTER(J:J, F:F=""Design"", I:I=1)"),39.0)</f>
        <v>39</v>
      </c>
      <c r="AB2" s="28">
        <f>IFERROR(__xludf.DUMMYFUNCTION("FILTER(J:J, F:F=""Marketing"", I:I=1)"),17.0)</f>
        <v>17</v>
      </c>
      <c r="AC2" s="11"/>
      <c r="AD2" s="11"/>
      <c r="AE2" s="11"/>
      <c r="AF2" s="11"/>
      <c r="AG2" s="11"/>
      <c r="AH2" s="29" t="s">
        <v>1237</v>
      </c>
      <c r="AI2" s="11"/>
      <c r="AO2" s="14"/>
      <c r="AP2" s="15"/>
      <c r="AQ2" s="14"/>
      <c r="AT2" s="32" t="s">
        <v>1242</v>
      </c>
      <c r="AU2" s="32" t="s">
        <v>1243</v>
      </c>
      <c r="AV2" s="32" t="s">
        <v>1244</v>
      </c>
      <c r="AW2" s="32" t="s">
        <v>1245</v>
      </c>
      <c r="AX2" s="32" t="s">
        <v>1246</v>
      </c>
      <c r="AY2" s="32" t="s">
        <v>1247</v>
      </c>
      <c r="AZ2" s="32" t="s">
        <v>1248</v>
      </c>
      <c r="BA2" s="32" t="s">
        <v>1249</v>
      </c>
      <c r="BB2" s="33" t="s">
        <v>1250</v>
      </c>
      <c r="BC2" s="11"/>
      <c r="BE2" s="11"/>
      <c r="BF2" s="34" t="s">
        <v>1234</v>
      </c>
      <c r="BG2" s="35" t="s">
        <v>4</v>
      </c>
      <c r="BH2" s="36"/>
      <c r="BI2" s="36"/>
      <c r="BJ2" s="36"/>
      <c r="BK2" s="36"/>
      <c r="BL2" s="11"/>
    </row>
    <row r="3">
      <c r="A3" s="21" t="s">
        <v>17</v>
      </c>
      <c r="B3" s="21" t="s">
        <v>18</v>
      </c>
      <c r="C3" s="22">
        <v>45079.0</v>
      </c>
      <c r="D3" s="22" t="str">
        <f t="shared" si="1"/>
        <v>06.2023</v>
      </c>
      <c r="E3" s="22">
        <v>45091.0</v>
      </c>
      <c r="F3" s="21" t="s">
        <v>14</v>
      </c>
      <c r="G3" s="23">
        <v>2.0</v>
      </c>
      <c r="H3" s="24">
        <v>32.0</v>
      </c>
      <c r="I3" s="24">
        <v>0.0</v>
      </c>
      <c r="J3" s="24">
        <v>48.0</v>
      </c>
      <c r="K3" s="21" t="s">
        <v>19</v>
      </c>
      <c r="L3" s="21" t="s">
        <v>16</v>
      </c>
      <c r="M3" s="24">
        <v>1.0</v>
      </c>
      <c r="O3" s="11"/>
      <c r="P3" s="11"/>
      <c r="T3" s="39">
        <f t="shared" ref="T3:T6" si="2">S3/R3</f>
        <v>0.6312056738</v>
      </c>
      <c r="U3" s="11"/>
      <c r="V3" s="11"/>
      <c r="X3" s="24">
        <f>IFERROR(__xludf.DUMMYFUNCTION("""COMPUTED_VALUE"""),39.0)</f>
        <v>39</v>
      </c>
      <c r="Y3" s="24">
        <f>IFERROR(__xludf.DUMMYFUNCTION("""COMPUTED_VALUE"""),25.0)</f>
        <v>25</v>
      </c>
      <c r="Z3" s="24">
        <f>IFERROR(__xludf.DUMMYFUNCTION("""COMPUTED_VALUE"""),33.0)</f>
        <v>33</v>
      </c>
      <c r="AA3" s="28">
        <f>IFERROR(__xludf.DUMMYFUNCTION("""COMPUTED_VALUE"""),51.0)</f>
        <v>51</v>
      </c>
      <c r="AB3" s="28">
        <f>IFERROR(__xludf.DUMMYFUNCTION("""COMPUTED_VALUE"""),31.0)</f>
        <v>31</v>
      </c>
      <c r="AC3" s="11"/>
      <c r="AD3" s="11"/>
      <c r="AE3" s="11"/>
      <c r="AF3" s="11"/>
      <c r="AG3" s="11"/>
      <c r="AH3" s="40" t="s">
        <v>1251</v>
      </c>
      <c r="AI3" s="11"/>
      <c r="AO3" s="14"/>
      <c r="AP3" s="15"/>
      <c r="AQ3" s="14"/>
      <c r="AT3" s="43">
        <f t="shared" ref="AT3:AT6" si="3">COUNTIFS(F2:F601, AR3, I2:I601, 0, H2:H601, "&lt;25")</f>
        <v>8</v>
      </c>
      <c r="AU3" s="43">
        <f t="shared" ref="AU3:AU6" si="4">COUNTIFS(F2:F601, AR3, I2:I601, 0, H2:H601, "&gt;=25",  H2:H601, "&lt;50")</f>
        <v>11</v>
      </c>
      <c r="AV3" s="43">
        <f t="shared" ref="AV3:AV6" si="5">COUNTIFS(F2:F601, AR3, I2:I601, 0, H2:H601, "&gt;=50",  H2:H601, "&lt;75")</f>
        <v>17</v>
      </c>
      <c r="AW3" s="15">
        <f t="shared" ref="AW3:AW6" si="6">COUNTIFS(F2:F601, AR3, I2:I601, 0, H2:H601, "&gt;=75")</f>
        <v>16</v>
      </c>
      <c r="AX3" s="44">
        <f t="shared" ref="AX3:AX7" si="7">AT3/AS3</f>
        <v>0.05673758865</v>
      </c>
      <c r="AY3" s="44">
        <f t="shared" ref="AY3:AY7" si="8">AU3/AS3</f>
        <v>0.0780141844</v>
      </c>
      <c r="AZ3" s="44">
        <f t="shared" ref="AZ3:AZ7" si="9">AV3/AS3</f>
        <v>0.1205673759</v>
      </c>
      <c r="BA3" s="45">
        <f t="shared" ref="BA3:BA7" si="10">AW3/AS3</f>
        <v>0.1134751773</v>
      </c>
      <c r="BB3" s="45">
        <f t="shared" ref="BB3:BB7" si="11">SUM(AX3:BA3)</f>
        <v>0.3687943262</v>
      </c>
      <c r="BC3" s="11"/>
      <c r="BE3" s="11"/>
      <c r="BF3" s="37" t="s">
        <v>1252</v>
      </c>
      <c r="BG3" s="35" t="s">
        <v>22</v>
      </c>
      <c r="BH3" s="35" t="s">
        <v>29</v>
      </c>
      <c r="BI3" s="35" t="s">
        <v>14</v>
      </c>
      <c r="BJ3" s="35" t="s">
        <v>38</v>
      </c>
      <c r="BK3" s="36" t="s">
        <v>1253</v>
      </c>
      <c r="BL3" s="11"/>
    </row>
    <row r="4">
      <c r="A4" s="21" t="s">
        <v>20</v>
      </c>
      <c r="B4" s="21" t="s">
        <v>21</v>
      </c>
      <c r="C4" s="22">
        <v>45028.0</v>
      </c>
      <c r="D4" s="22" t="str">
        <f t="shared" si="1"/>
        <v>04.2023</v>
      </c>
      <c r="E4" s="22">
        <v>45040.0</v>
      </c>
      <c r="F4" s="21" t="s">
        <v>22</v>
      </c>
      <c r="G4" s="23">
        <v>0.3</v>
      </c>
      <c r="H4" s="24">
        <v>16.0</v>
      </c>
      <c r="I4" s="24">
        <v>1.0</v>
      </c>
      <c r="J4" s="24">
        <v>34.0</v>
      </c>
      <c r="K4" s="21" t="s">
        <v>23</v>
      </c>
      <c r="L4" s="21" t="s">
        <v>16</v>
      </c>
      <c r="M4" s="24">
        <v>0.0</v>
      </c>
      <c r="O4" s="11"/>
      <c r="P4" s="11"/>
      <c r="T4" s="39">
        <f t="shared" si="2"/>
        <v>0.5584415584</v>
      </c>
      <c r="U4" s="11"/>
      <c r="V4" s="11"/>
      <c r="X4" s="24">
        <f>IFERROR(__xludf.DUMMYFUNCTION("""COMPUTED_VALUE"""),25.0)</f>
        <v>25</v>
      </c>
      <c r="Y4" s="24">
        <f>IFERROR(__xludf.DUMMYFUNCTION("""COMPUTED_VALUE"""),26.0)</f>
        <v>26</v>
      </c>
      <c r="Z4" s="24">
        <f>IFERROR(__xludf.DUMMYFUNCTION("""COMPUTED_VALUE"""),49.0)</f>
        <v>49</v>
      </c>
      <c r="AA4" s="28">
        <f>IFERROR(__xludf.DUMMYFUNCTION("""COMPUTED_VALUE"""),41.0)</f>
        <v>41</v>
      </c>
      <c r="AB4" s="28">
        <f>IFERROR(__xludf.DUMMYFUNCTION("""COMPUTED_VALUE"""),36.0)</f>
        <v>36</v>
      </c>
      <c r="AC4" s="11"/>
      <c r="AD4" s="11"/>
      <c r="AE4" s="11"/>
      <c r="AF4" s="11"/>
      <c r="AG4" s="11"/>
      <c r="AH4" s="46"/>
      <c r="AI4" s="11"/>
      <c r="AO4" s="14"/>
      <c r="AP4" s="15"/>
      <c r="AQ4" s="14"/>
      <c r="AT4" s="43">
        <f t="shared" si="3"/>
        <v>16</v>
      </c>
      <c r="AU4" s="43">
        <f t="shared" si="4"/>
        <v>18</v>
      </c>
      <c r="AV4" s="43">
        <f t="shared" si="5"/>
        <v>18</v>
      </c>
      <c r="AW4" s="15">
        <f t="shared" si="6"/>
        <v>16</v>
      </c>
      <c r="AX4" s="44">
        <f t="shared" si="7"/>
        <v>0.1038961039</v>
      </c>
      <c r="AY4" s="44">
        <f t="shared" si="8"/>
        <v>0.1168831169</v>
      </c>
      <c r="AZ4" s="44">
        <f t="shared" si="9"/>
        <v>0.1168831169</v>
      </c>
      <c r="BA4" s="45">
        <f t="shared" si="10"/>
        <v>0.1038961039</v>
      </c>
      <c r="BB4" s="45">
        <f t="shared" si="11"/>
        <v>0.4415584416</v>
      </c>
      <c r="BC4" s="11"/>
      <c r="BE4" s="11"/>
      <c r="BF4" s="47" t="s">
        <v>1254</v>
      </c>
      <c r="BG4" s="37">
        <v>10.0</v>
      </c>
      <c r="BH4" s="37">
        <v>16.0</v>
      </c>
      <c r="BI4" s="37">
        <v>14.0</v>
      </c>
      <c r="BJ4" s="37">
        <v>8.0</v>
      </c>
      <c r="BK4" s="37">
        <v>48.0</v>
      </c>
      <c r="BL4" s="11"/>
    </row>
    <row r="5">
      <c r="A5" s="21" t="s">
        <v>24</v>
      </c>
      <c r="B5" s="21" t="s">
        <v>25</v>
      </c>
      <c r="C5" s="22">
        <v>45031.0</v>
      </c>
      <c r="D5" s="22" t="str">
        <f t="shared" si="1"/>
        <v>04.2023</v>
      </c>
      <c r="E5" s="22">
        <v>45043.0</v>
      </c>
      <c r="F5" s="21" t="s">
        <v>14</v>
      </c>
      <c r="G5" s="23">
        <v>3.3</v>
      </c>
      <c r="H5" s="24">
        <v>78.0</v>
      </c>
      <c r="I5" s="24">
        <v>1.0</v>
      </c>
      <c r="J5" s="24">
        <v>39.0</v>
      </c>
      <c r="K5" s="21" t="s">
        <v>15</v>
      </c>
      <c r="L5" s="21" t="s">
        <v>26</v>
      </c>
      <c r="M5" s="24">
        <v>0.0</v>
      </c>
      <c r="O5" s="11"/>
      <c r="P5" s="11"/>
      <c r="T5" s="39">
        <f t="shared" si="2"/>
        <v>0.5065789474</v>
      </c>
      <c r="U5" s="11"/>
      <c r="V5" s="11"/>
      <c r="X5" s="24">
        <f>IFERROR(__xludf.DUMMYFUNCTION("""COMPUTED_VALUE"""),17.0)</f>
        <v>17</v>
      </c>
      <c r="Y5" s="24">
        <f>IFERROR(__xludf.DUMMYFUNCTION("""COMPUTED_VALUE"""),18.0)</f>
        <v>18</v>
      </c>
      <c r="Z5" s="24">
        <f>IFERROR(__xludf.DUMMYFUNCTION("""COMPUTED_VALUE"""),29.0)</f>
        <v>29</v>
      </c>
      <c r="AA5" s="28">
        <f>IFERROR(__xludf.DUMMYFUNCTION("""COMPUTED_VALUE"""),24.0)</f>
        <v>24</v>
      </c>
      <c r="AB5" s="28">
        <f>IFERROR(__xludf.DUMMYFUNCTION("""COMPUTED_VALUE"""),15.0)</f>
        <v>15</v>
      </c>
      <c r="AC5" s="11"/>
      <c r="AD5" s="11"/>
      <c r="AE5" s="11"/>
      <c r="AF5" s="11"/>
      <c r="AG5" s="11"/>
      <c r="AH5" s="46"/>
      <c r="AI5" s="11"/>
      <c r="AO5" s="14"/>
      <c r="AP5" s="15"/>
      <c r="AQ5" s="14"/>
      <c r="AT5" s="43">
        <f t="shared" si="3"/>
        <v>17</v>
      </c>
      <c r="AU5" s="43">
        <f t="shared" si="4"/>
        <v>18</v>
      </c>
      <c r="AV5" s="43">
        <f t="shared" si="5"/>
        <v>20</v>
      </c>
      <c r="AW5" s="15">
        <f t="shared" si="6"/>
        <v>18</v>
      </c>
      <c r="AX5" s="44">
        <f t="shared" si="7"/>
        <v>0.1118421053</v>
      </c>
      <c r="AY5" s="44">
        <f t="shared" si="8"/>
        <v>0.1184210526</v>
      </c>
      <c r="AZ5" s="44">
        <f t="shared" si="9"/>
        <v>0.1315789474</v>
      </c>
      <c r="BA5" s="45">
        <f t="shared" si="10"/>
        <v>0.1184210526</v>
      </c>
      <c r="BB5" s="45">
        <f t="shared" si="11"/>
        <v>0.4802631579</v>
      </c>
      <c r="BC5" s="11"/>
      <c r="BE5" s="11"/>
      <c r="BF5" s="47" t="s">
        <v>1255</v>
      </c>
      <c r="BG5" s="37">
        <v>10.0</v>
      </c>
      <c r="BH5" s="37">
        <v>9.0</v>
      </c>
      <c r="BI5" s="37">
        <v>19.0</v>
      </c>
      <c r="BJ5" s="37">
        <v>13.0</v>
      </c>
      <c r="BK5" s="37">
        <v>51.0</v>
      </c>
      <c r="BL5" s="11"/>
    </row>
    <row r="6">
      <c r="A6" s="21" t="s">
        <v>27</v>
      </c>
      <c r="B6" s="21" t="s">
        <v>28</v>
      </c>
      <c r="C6" s="22">
        <v>45107.0</v>
      </c>
      <c r="D6" s="22" t="str">
        <f t="shared" si="1"/>
        <v>06.2023</v>
      </c>
      <c r="E6" s="22">
        <v>45119.0</v>
      </c>
      <c r="F6" s="21" t="s">
        <v>29</v>
      </c>
      <c r="G6" s="23">
        <v>0.6</v>
      </c>
      <c r="H6" s="24">
        <v>36.0</v>
      </c>
      <c r="I6" s="24">
        <v>0.0</v>
      </c>
      <c r="J6" s="24">
        <v>40.0</v>
      </c>
      <c r="K6" s="21" t="s">
        <v>15</v>
      </c>
      <c r="L6" s="21" t="s">
        <v>26</v>
      </c>
      <c r="M6" s="24">
        <v>0.0</v>
      </c>
      <c r="O6" s="11"/>
      <c r="P6" s="11"/>
      <c r="T6" s="39">
        <f t="shared" si="2"/>
        <v>0.5555555556</v>
      </c>
      <c r="U6" s="11"/>
      <c r="V6" s="11"/>
      <c r="X6" s="24">
        <f>IFERROR(__xludf.DUMMYFUNCTION("""COMPUTED_VALUE"""),31.0)</f>
        <v>31</v>
      </c>
      <c r="Y6" s="24">
        <f>IFERROR(__xludf.DUMMYFUNCTION("""COMPUTED_VALUE"""),54.0)</f>
        <v>54</v>
      </c>
      <c r="Z6" s="24">
        <f>IFERROR(__xludf.DUMMYFUNCTION("""COMPUTED_VALUE"""),27.0)</f>
        <v>27</v>
      </c>
      <c r="AA6" s="28">
        <f>IFERROR(__xludf.DUMMYFUNCTION("""COMPUTED_VALUE"""),45.0)</f>
        <v>45</v>
      </c>
      <c r="AB6" s="28">
        <f>IFERROR(__xludf.DUMMYFUNCTION("""COMPUTED_VALUE"""),13.0)</f>
        <v>13</v>
      </c>
      <c r="AC6" s="11"/>
      <c r="AD6" s="11"/>
      <c r="AE6" s="11"/>
      <c r="AF6" s="11"/>
      <c r="AG6" s="11"/>
      <c r="AH6" s="46"/>
      <c r="AI6" s="11"/>
      <c r="AO6" s="14"/>
      <c r="AP6" s="15"/>
      <c r="AQ6" s="14"/>
      <c r="AT6" s="43">
        <f t="shared" si="3"/>
        <v>18</v>
      </c>
      <c r="AU6" s="43">
        <f t="shared" si="4"/>
        <v>14</v>
      </c>
      <c r="AV6" s="43">
        <f t="shared" si="5"/>
        <v>12</v>
      </c>
      <c r="AW6" s="15">
        <f t="shared" si="6"/>
        <v>24</v>
      </c>
      <c r="AX6" s="44">
        <f t="shared" si="7"/>
        <v>0.1176470588</v>
      </c>
      <c r="AY6" s="44">
        <f t="shared" si="8"/>
        <v>0.09150326797</v>
      </c>
      <c r="AZ6" s="44">
        <f t="shared" si="9"/>
        <v>0.07843137255</v>
      </c>
      <c r="BA6" s="45">
        <f t="shared" si="10"/>
        <v>0.1568627451</v>
      </c>
      <c r="BB6" s="45">
        <f t="shared" si="11"/>
        <v>0.4444444444</v>
      </c>
      <c r="BC6" s="11"/>
      <c r="BE6" s="11"/>
      <c r="BF6" s="47" t="s">
        <v>1256</v>
      </c>
      <c r="BG6" s="37">
        <v>9.0</v>
      </c>
      <c r="BH6" s="37">
        <v>10.0</v>
      </c>
      <c r="BI6" s="37">
        <v>11.0</v>
      </c>
      <c r="BJ6" s="37">
        <v>13.0</v>
      </c>
      <c r="BK6" s="37">
        <v>43.0</v>
      </c>
      <c r="BL6" s="11"/>
    </row>
    <row r="7">
      <c r="A7" s="21" t="s">
        <v>30</v>
      </c>
      <c r="B7" s="21" t="s">
        <v>31</v>
      </c>
      <c r="C7" s="22">
        <v>44980.0</v>
      </c>
      <c r="D7" s="22" t="str">
        <f t="shared" si="1"/>
        <v>02.2023</v>
      </c>
      <c r="E7" s="22">
        <v>44992.0</v>
      </c>
      <c r="F7" s="21" t="s">
        <v>14</v>
      </c>
      <c r="G7" s="23">
        <v>3.0</v>
      </c>
      <c r="H7" s="24">
        <v>81.0</v>
      </c>
      <c r="I7" s="24">
        <v>0.0</v>
      </c>
      <c r="J7" s="24">
        <v>44.0</v>
      </c>
      <c r="K7" s="21" t="s">
        <v>32</v>
      </c>
      <c r="L7" s="21" t="s">
        <v>26</v>
      </c>
      <c r="M7" s="24">
        <v>1.0</v>
      </c>
      <c r="O7" s="11"/>
      <c r="P7" s="11"/>
      <c r="T7" s="50">
        <f> AVERAGE(T3:T6)</f>
        <v>0.5629454338</v>
      </c>
      <c r="U7" s="11"/>
      <c r="V7" s="11"/>
      <c r="X7" s="24">
        <f>IFERROR(__xludf.DUMMYFUNCTION("""COMPUTED_VALUE"""),36.0)</f>
        <v>36</v>
      </c>
      <c r="Y7" s="24">
        <f>IFERROR(__xludf.DUMMYFUNCTION("""COMPUTED_VALUE"""),53.0)</f>
        <v>53</v>
      </c>
      <c r="Z7" s="24">
        <f>IFERROR(__xludf.DUMMYFUNCTION("""COMPUTED_VALUE"""),20.0)</f>
        <v>20</v>
      </c>
      <c r="AA7" s="28">
        <f>IFERROR(__xludf.DUMMYFUNCTION("""COMPUTED_VALUE"""),26.0)</f>
        <v>26</v>
      </c>
      <c r="AB7" s="28">
        <f>IFERROR(__xludf.DUMMYFUNCTION("""COMPUTED_VALUE"""),37.0)</f>
        <v>37</v>
      </c>
      <c r="AC7" s="11"/>
      <c r="AD7" s="11"/>
      <c r="AE7" s="11"/>
      <c r="AF7" s="11"/>
      <c r="AG7" s="11"/>
      <c r="AH7" s="46"/>
      <c r="AI7" s="11"/>
      <c r="AO7" s="14"/>
      <c r="AP7" s="15"/>
      <c r="AQ7" s="14"/>
      <c r="AT7" s="53">
        <f t="shared" ref="AT7:AW7" si="12">SUM(AT3:AT6)</f>
        <v>59</v>
      </c>
      <c r="AU7" s="53">
        <f t="shared" si="12"/>
        <v>61</v>
      </c>
      <c r="AV7" s="53">
        <f t="shared" si="12"/>
        <v>67</v>
      </c>
      <c r="AW7" s="53">
        <f t="shared" si="12"/>
        <v>74</v>
      </c>
      <c r="AX7" s="54">
        <f t="shared" si="7"/>
        <v>0.09833333333</v>
      </c>
      <c r="AY7" s="54">
        <f t="shared" si="8"/>
        <v>0.1016666667</v>
      </c>
      <c r="AZ7" s="54">
        <f t="shared" si="9"/>
        <v>0.1116666667</v>
      </c>
      <c r="BA7" s="55">
        <f t="shared" si="10"/>
        <v>0.1233333333</v>
      </c>
      <c r="BB7" s="56">
        <f t="shared" si="11"/>
        <v>0.435</v>
      </c>
      <c r="BC7" s="11"/>
      <c r="BE7" s="11"/>
      <c r="BF7" s="47" t="s">
        <v>1257</v>
      </c>
      <c r="BG7" s="37">
        <v>12.0</v>
      </c>
      <c r="BH7" s="37">
        <v>16.0</v>
      </c>
      <c r="BI7" s="37">
        <v>11.0</v>
      </c>
      <c r="BJ7" s="37">
        <v>12.0</v>
      </c>
      <c r="BK7" s="37">
        <v>51.0</v>
      </c>
      <c r="BL7" s="11"/>
    </row>
    <row r="8">
      <c r="A8" s="21" t="s">
        <v>33</v>
      </c>
      <c r="B8" s="21" t="s">
        <v>34</v>
      </c>
      <c r="C8" s="22">
        <v>45281.0</v>
      </c>
      <c r="D8" s="22" t="str">
        <f t="shared" si="1"/>
        <v>12.2023</v>
      </c>
      <c r="E8" s="22">
        <v>45293.0</v>
      </c>
      <c r="F8" s="21" t="s">
        <v>22</v>
      </c>
      <c r="G8" s="23">
        <v>3.6</v>
      </c>
      <c r="H8" s="24">
        <v>57.0</v>
      </c>
      <c r="I8" s="24">
        <v>1.0</v>
      </c>
      <c r="J8" s="24">
        <v>25.0</v>
      </c>
      <c r="K8" s="21" t="s">
        <v>35</v>
      </c>
      <c r="L8" s="21" t="s">
        <v>26</v>
      </c>
      <c r="M8" s="24">
        <v>1.0</v>
      </c>
      <c r="O8" s="11"/>
      <c r="P8" s="11"/>
      <c r="Q8" s="11"/>
      <c r="R8" s="11"/>
      <c r="S8" s="11"/>
      <c r="T8" s="11"/>
      <c r="U8" s="11"/>
      <c r="V8" s="11"/>
      <c r="X8" s="24">
        <f>IFERROR(__xludf.DUMMYFUNCTION("""COMPUTED_VALUE"""),15.0)</f>
        <v>15</v>
      </c>
      <c r="Y8" s="24">
        <f>IFERROR(__xludf.DUMMYFUNCTION("""COMPUTED_VALUE"""),34.0)</f>
        <v>34</v>
      </c>
      <c r="Z8" s="24">
        <f>IFERROR(__xludf.DUMMYFUNCTION("""COMPUTED_VALUE"""),32.0)</f>
        <v>32</v>
      </c>
      <c r="AA8" s="28">
        <f>IFERROR(__xludf.DUMMYFUNCTION("""COMPUTED_VALUE"""),19.0)</f>
        <v>19</v>
      </c>
      <c r="AB8" s="28">
        <f>IFERROR(__xludf.DUMMYFUNCTION("""COMPUTED_VALUE"""),53.0)</f>
        <v>53</v>
      </c>
      <c r="AC8" s="11"/>
      <c r="AD8" s="11"/>
      <c r="AE8" s="11"/>
      <c r="AF8" s="11"/>
      <c r="AG8" s="11"/>
      <c r="AH8" s="46"/>
      <c r="AI8" s="11"/>
      <c r="AJ8" s="57" t="s">
        <v>1258</v>
      </c>
      <c r="AK8" s="58">
        <f>MEDIAN(J2:J601)</f>
        <v>34</v>
      </c>
      <c r="AL8" s="59">
        <f t="shared" ref="AL8:AM8" si="13">MEDIAN(G2:G601)</f>
        <v>2.5</v>
      </c>
      <c r="AM8" s="58">
        <f t="shared" si="13"/>
        <v>50</v>
      </c>
      <c r="AN8" s="11"/>
      <c r="AO8" s="14"/>
      <c r="AP8" s="15"/>
      <c r="AQ8" s="14"/>
      <c r="AR8" s="14"/>
      <c r="AS8" s="14"/>
      <c r="AT8" s="14"/>
      <c r="AU8" s="14"/>
      <c r="AV8" s="14"/>
      <c r="AW8" s="14"/>
      <c r="AX8" s="14"/>
      <c r="AY8" s="14"/>
      <c r="AZ8" s="14"/>
      <c r="BA8" s="14"/>
      <c r="BB8" s="14"/>
      <c r="BC8" s="14"/>
      <c r="BD8" s="15"/>
      <c r="BE8" s="14"/>
      <c r="BF8" s="47" t="s">
        <v>1259</v>
      </c>
      <c r="BG8" s="37">
        <v>11.0</v>
      </c>
      <c r="BH8" s="37">
        <v>8.0</v>
      </c>
      <c r="BI8" s="37">
        <v>8.0</v>
      </c>
      <c r="BJ8" s="37">
        <v>17.0</v>
      </c>
      <c r="BK8" s="37">
        <v>44.0</v>
      </c>
      <c r="BL8" s="14"/>
    </row>
    <row r="9">
      <c r="A9" s="21" t="s">
        <v>36</v>
      </c>
      <c r="B9" s="21" t="s">
        <v>37</v>
      </c>
      <c r="C9" s="22">
        <v>45088.0</v>
      </c>
      <c r="D9" s="22" t="str">
        <f t="shared" si="1"/>
        <v>06.2023</v>
      </c>
      <c r="E9" s="22">
        <v>45100.0</v>
      </c>
      <c r="F9" s="21" t="s">
        <v>38</v>
      </c>
      <c r="G9" s="23">
        <v>0.5</v>
      </c>
      <c r="H9" s="24">
        <v>11.0</v>
      </c>
      <c r="I9" s="24">
        <v>0.0</v>
      </c>
      <c r="J9" s="24">
        <v>43.0</v>
      </c>
      <c r="K9" s="21" t="s">
        <v>19</v>
      </c>
      <c r="L9" s="21" t="s">
        <v>26</v>
      </c>
      <c r="M9" s="24">
        <v>1.0</v>
      </c>
      <c r="O9" s="11"/>
      <c r="P9" s="11"/>
      <c r="Q9" s="11"/>
      <c r="R9" s="11"/>
      <c r="S9" s="11"/>
      <c r="T9" s="11"/>
      <c r="U9" s="11"/>
      <c r="V9" s="11"/>
      <c r="X9" s="24">
        <f>IFERROR(__xludf.DUMMYFUNCTION("""COMPUTED_VALUE"""),46.0)</f>
        <v>46</v>
      </c>
      <c r="Y9" s="24">
        <f>IFERROR(__xludf.DUMMYFUNCTION("""COMPUTED_VALUE"""),42.0)</f>
        <v>42</v>
      </c>
      <c r="Z9" s="24">
        <f>IFERROR(__xludf.DUMMYFUNCTION("""COMPUTED_VALUE"""),13.0)</f>
        <v>13</v>
      </c>
      <c r="AA9" s="28">
        <f>IFERROR(__xludf.DUMMYFUNCTION("""COMPUTED_VALUE"""),23.0)</f>
        <v>23</v>
      </c>
      <c r="AB9" s="28">
        <f>IFERROR(__xludf.DUMMYFUNCTION("""COMPUTED_VALUE"""),16.0)</f>
        <v>16</v>
      </c>
      <c r="AC9" s="11"/>
      <c r="AD9" s="11"/>
      <c r="AE9" s="11"/>
      <c r="AF9" s="11"/>
      <c r="AG9" s="11"/>
      <c r="AH9" s="60"/>
      <c r="AI9" s="11"/>
      <c r="AJ9" s="11"/>
      <c r="AK9" s="11"/>
      <c r="AL9" s="11"/>
      <c r="AM9" s="11"/>
      <c r="AN9" s="11"/>
      <c r="AO9" s="11"/>
      <c r="AQ9" s="11"/>
      <c r="AR9" s="61" t="s">
        <v>1260</v>
      </c>
      <c r="AS9" s="62"/>
      <c r="AT9" s="62"/>
      <c r="AU9" s="62"/>
      <c r="AV9" s="62"/>
      <c r="AW9" s="63"/>
      <c r="AX9" s="11"/>
      <c r="AY9" s="11"/>
      <c r="AZ9" s="11"/>
      <c r="BA9" s="11"/>
      <c r="BB9" s="11"/>
      <c r="BC9" s="11"/>
      <c r="BE9" s="11"/>
      <c r="BF9" s="47" t="s">
        <v>1261</v>
      </c>
      <c r="BG9" s="37">
        <v>9.0</v>
      </c>
      <c r="BH9" s="37">
        <v>10.0</v>
      </c>
      <c r="BI9" s="37">
        <v>11.0</v>
      </c>
      <c r="BJ9" s="37">
        <v>9.0</v>
      </c>
      <c r="BK9" s="37">
        <v>39.0</v>
      </c>
      <c r="BL9" s="11"/>
    </row>
    <row r="10" ht="13.5" customHeight="1">
      <c r="A10" s="21" t="s">
        <v>39</v>
      </c>
      <c r="B10" s="21" t="s">
        <v>40</v>
      </c>
      <c r="C10" s="22">
        <v>45068.0</v>
      </c>
      <c r="D10" s="22" t="str">
        <f t="shared" si="1"/>
        <v>05.2023</v>
      </c>
      <c r="E10" s="22">
        <v>45080.0</v>
      </c>
      <c r="F10" s="21" t="s">
        <v>38</v>
      </c>
      <c r="G10" s="23">
        <v>4.7</v>
      </c>
      <c r="H10" s="24">
        <v>76.0</v>
      </c>
      <c r="I10" s="24">
        <v>1.0</v>
      </c>
      <c r="J10" s="24">
        <v>17.0</v>
      </c>
      <c r="K10" s="21" t="s">
        <v>32</v>
      </c>
      <c r="L10" s="21" t="s">
        <v>26</v>
      </c>
      <c r="M10" s="24">
        <v>1.0</v>
      </c>
      <c r="O10" s="11"/>
      <c r="P10" s="11"/>
      <c r="Q10" s="11"/>
      <c r="R10" s="11"/>
      <c r="S10" s="11"/>
      <c r="T10" s="11"/>
      <c r="U10" s="11"/>
      <c r="V10" s="11"/>
      <c r="X10" s="24">
        <f>IFERROR(__xludf.DUMMYFUNCTION("""COMPUTED_VALUE"""),13.0)</f>
        <v>13</v>
      </c>
      <c r="Y10" s="24">
        <f>IFERROR(__xludf.DUMMYFUNCTION("""COMPUTED_VALUE"""),54.0)</f>
        <v>54</v>
      </c>
      <c r="Z10" s="24">
        <f>IFERROR(__xludf.DUMMYFUNCTION("""COMPUTED_VALUE"""),28.0)</f>
        <v>28</v>
      </c>
      <c r="AA10" s="28">
        <f>IFERROR(__xludf.DUMMYFUNCTION("""COMPUTED_VALUE"""),41.0)</f>
        <v>41</v>
      </c>
      <c r="AB10" s="28">
        <f>IFERROR(__xludf.DUMMYFUNCTION("""COMPUTED_VALUE"""),25.0)</f>
        <v>25</v>
      </c>
      <c r="AC10" s="11"/>
      <c r="AD10" s="11"/>
      <c r="AE10" s="11"/>
      <c r="AF10" s="11"/>
      <c r="AG10" s="11"/>
      <c r="AH10" s="11"/>
      <c r="AI10" s="11"/>
      <c r="AJ10" s="64" t="s">
        <v>1262</v>
      </c>
      <c r="AM10" s="11"/>
      <c r="AN10" s="11"/>
      <c r="AO10" s="11"/>
      <c r="AQ10" s="11"/>
      <c r="AR10" s="65" t="s">
        <v>1263</v>
      </c>
      <c r="AW10" s="66"/>
      <c r="AX10" s="11"/>
      <c r="AY10" s="11"/>
      <c r="AZ10" s="11"/>
      <c r="BA10" s="11"/>
      <c r="BB10" s="11"/>
      <c r="BC10" s="11"/>
      <c r="BE10" s="11"/>
      <c r="BF10" s="47" t="s">
        <v>1264</v>
      </c>
      <c r="BG10" s="37">
        <v>10.0</v>
      </c>
      <c r="BH10" s="37">
        <v>19.0</v>
      </c>
      <c r="BI10" s="37">
        <v>15.0</v>
      </c>
      <c r="BJ10" s="37">
        <v>9.0</v>
      </c>
      <c r="BK10" s="37">
        <v>53.0</v>
      </c>
      <c r="BL10" s="11"/>
    </row>
    <row r="11">
      <c r="A11" s="21" t="s">
        <v>41</v>
      </c>
      <c r="B11" s="21" t="s">
        <v>42</v>
      </c>
      <c r="C11" s="22">
        <v>44939.0</v>
      </c>
      <c r="D11" s="22" t="str">
        <f t="shared" si="1"/>
        <v>01.2023</v>
      </c>
      <c r="E11" s="22">
        <v>44951.0</v>
      </c>
      <c r="F11" s="21" t="s">
        <v>38</v>
      </c>
      <c r="G11" s="23">
        <v>4.4</v>
      </c>
      <c r="H11" s="24">
        <v>49.0</v>
      </c>
      <c r="I11" s="24">
        <v>1.0</v>
      </c>
      <c r="J11" s="24">
        <v>31.0</v>
      </c>
      <c r="K11" s="21" t="s">
        <v>23</v>
      </c>
      <c r="L11" s="21" t="s">
        <v>16</v>
      </c>
      <c r="M11" s="24">
        <v>0.0</v>
      </c>
      <c r="O11" s="11"/>
      <c r="P11" s="11"/>
      <c r="Q11" s="11"/>
      <c r="R11" s="11"/>
      <c r="S11" s="11"/>
      <c r="T11" s="11"/>
      <c r="U11" s="11"/>
      <c r="V11" s="11"/>
      <c r="X11" s="24">
        <f>IFERROR(__xludf.DUMMYFUNCTION("""COMPUTED_VALUE"""),37.0)</f>
        <v>37</v>
      </c>
      <c r="Y11" s="24">
        <f>IFERROR(__xludf.DUMMYFUNCTION("""COMPUTED_VALUE"""),48.0)</f>
        <v>48</v>
      </c>
      <c r="Z11" s="24">
        <f>IFERROR(__xludf.DUMMYFUNCTION("""COMPUTED_VALUE"""),55.0)</f>
        <v>55</v>
      </c>
      <c r="AA11" s="28">
        <f>IFERROR(__xludf.DUMMYFUNCTION("""COMPUTED_VALUE"""),51.0)</f>
        <v>51</v>
      </c>
      <c r="AB11" s="28">
        <f>IFERROR(__xludf.DUMMYFUNCTION("""COMPUTED_VALUE"""),18.0)</f>
        <v>18</v>
      </c>
      <c r="AC11" s="11"/>
      <c r="AD11" s="11"/>
      <c r="AE11" s="11"/>
      <c r="AF11" s="11"/>
      <c r="AG11" s="11"/>
      <c r="AH11" s="11"/>
      <c r="AI11" s="11"/>
      <c r="AJ11" s="67" t="s">
        <v>1265</v>
      </c>
      <c r="AM11" s="11"/>
      <c r="AN11" s="11"/>
      <c r="AO11" s="11"/>
      <c r="AQ11" s="11"/>
      <c r="AR11" s="68"/>
      <c r="AW11" s="66"/>
      <c r="AX11" s="11"/>
      <c r="AY11" s="11"/>
      <c r="AZ11" s="11"/>
      <c r="BA11" s="11"/>
      <c r="BB11" s="11"/>
      <c r="BC11" s="11"/>
      <c r="BE11" s="11"/>
      <c r="BF11" s="69" t="s">
        <v>1266</v>
      </c>
      <c r="BG11" s="15">
        <v>20.0</v>
      </c>
      <c r="BH11" s="15">
        <v>11.0</v>
      </c>
      <c r="BI11" s="15">
        <v>16.0</v>
      </c>
      <c r="BJ11" s="15">
        <v>14.0</v>
      </c>
      <c r="BK11" s="15">
        <v>61.0</v>
      </c>
      <c r="BL11" s="11"/>
    </row>
    <row r="12">
      <c r="A12" s="21" t="s">
        <v>43</v>
      </c>
      <c r="B12" s="21" t="s">
        <v>44</v>
      </c>
      <c r="C12" s="22">
        <v>45128.0</v>
      </c>
      <c r="D12" s="22" t="str">
        <f t="shared" si="1"/>
        <v>07.2023</v>
      </c>
      <c r="E12" s="22">
        <v>45140.0</v>
      </c>
      <c r="F12" s="21" t="s">
        <v>38</v>
      </c>
      <c r="G12" s="23">
        <v>2.6</v>
      </c>
      <c r="H12" s="24">
        <v>5.0</v>
      </c>
      <c r="I12" s="24">
        <v>0.0</v>
      </c>
      <c r="J12" s="24">
        <v>35.0</v>
      </c>
      <c r="K12" s="21" t="s">
        <v>35</v>
      </c>
      <c r="L12" s="21" t="s">
        <v>16</v>
      </c>
      <c r="M12" s="24">
        <v>1.0</v>
      </c>
      <c r="O12" s="11"/>
      <c r="P12" s="11"/>
      <c r="Q12" s="11"/>
      <c r="R12" s="11"/>
      <c r="S12" s="11"/>
      <c r="T12" s="11"/>
      <c r="U12" s="11"/>
      <c r="V12" s="11"/>
      <c r="X12" s="24">
        <f>IFERROR(__xludf.DUMMYFUNCTION("""COMPUTED_VALUE"""),33.0)</f>
        <v>33</v>
      </c>
      <c r="Y12" s="24">
        <f>IFERROR(__xludf.DUMMYFUNCTION("""COMPUTED_VALUE"""),16.0)</f>
        <v>16</v>
      </c>
      <c r="Z12" s="24">
        <f>IFERROR(__xludf.DUMMYFUNCTION("""COMPUTED_VALUE"""),17.0)</f>
        <v>17</v>
      </c>
      <c r="AA12" s="28">
        <f>IFERROR(__xludf.DUMMYFUNCTION("""COMPUTED_VALUE"""),52.0)</f>
        <v>52</v>
      </c>
      <c r="AB12" s="28">
        <f>IFERROR(__xludf.DUMMYFUNCTION("""COMPUTED_VALUE"""),14.0)</f>
        <v>14</v>
      </c>
      <c r="AC12" s="11"/>
      <c r="AD12" s="11"/>
      <c r="AE12" s="11"/>
      <c r="AF12" s="11"/>
      <c r="AG12" s="11"/>
      <c r="AH12" s="11"/>
      <c r="AI12" s="11"/>
      <c r="AM12" s="11"/>
      <c r="AN12" s="11"/>
      <c r="AO12" s="11"/>
      <c r="AQ12" s="11"/>
      <c r="AR12" s="68"/>
      <c r="AW12" s="66"/>
      <c r="AX12" s="11"/>
      <c r="AY12" s="11"/>
      <c r="AZ12" s="11"/>
      <c r="BA12" s="11"/>
      <c r="BB12" s="11"/>
      <c r="BC12" s="11"/>
      <c r="BE12" s="11"/>
      <c r="BF12" s="69" t="s">
        <v>1267</v>
      </c>
      <c r="BG12" s="15">
        <v>15.0</v>
      </c>
      <c r="BH12" s="15">
        <v>10.0</v>
      </c>
      <c r="BI12" s="15">
        <v>15.0</v>
      </c>
      <c r="BJ12" s="15">
        <v>15.0</v>
      </c>
      <c r="BK12" s="15">
        <v>55.0</v>
      </c>
      <c r="BL12" s="11"/>
    </row>
    <row r="13">
      <c r="A13" s="21" t="s">
        <v>45</v>
      </c>
      <c r="B13" s="21" t="s">
        <v>46</v>
      </c>
      <c r="C13" s="22">
        <v>45212.0</v>
      </c>
      <c r="D13" s="22" t="str">
        <f t="shared" si="1"/>
        <v>10.2023</v>
      </c>
      <c r="E13" s="22">
        <v>45224.0</v>
      </c>
      <c r="F13" s="21" t="s">
        <v>38</v>
      </c>
      <c r="G13" s="23">
        <v>0.8</v>
      </c>
      <c r="H13" s="24">
        <v>2.0</v>
      </c>
      <c r="I13" s="24">
        <v>1.0</v>
      </c>
      <c r="J13" s="24">
        <v>36.0</v>
      </c>
      <c r="K13" s="21" t="s">
        <v>19</v>
      </c>
      <c r="L13" s="21" t="s">
        <v>47</v>
      </c>
      <c r="M13" s="24">
        <v>0.0</v>
      </c>
      <c r="O13" s="11"/>
      <c r="P13" s="11"/>
      <c r="Q13" s="11"/>
      <c r="R13" s="11"/>
      <c r="S13" s="11"/>
      <c r="T13" s="11"/>
      <c r="U13" s="70"/>
      <c r="V13" s="11"/>
      <c r="X13" s="24">
        <f>IFERROR(__xludf.DUMMYFUNCTION("""COMPUTED_VALUE"""),53.0)</f>
        <v>53</v>
      </c>
      <c r="Y13" s="24">
        <f>IFERROR(__xludf.DUMMYFUNCTION("""COMPUTED_VALUE"""),15.0)</f>
        <v>15</v>
      </c>
      <c r="Z13" s="24">
        <f>IFERROR(__xludf.DUMMYFUNCTION("""COMPUTED_VALUE"""),51.0)</f>
        <v>51</v>
      </c>
      <c r="AA13" s="28">
        <f>IFERROR(__xludf.DUMMYFUNCTION("""COMPUTED_VALUE"""),44.0)</f>
        <v>44</v>
      </c>
      <c r="AB13" s="28">
        <f>IFERROR(__xludf.DUMMYFUNCTION("""COMPUTED_VALUE"""),46.0)</f>
        <v>46</v>
      </c>
      <c r="AC13" s="11"/>
      <c r="AD13" s="11"/>
      <c r="AE13" s="11"/>
      <c r="AF13" s="11"/>
      <c r="AG13" s="11"/>
      <c r="AH13" s="11"/>
      <c r="AI13" s="11"/>
      <c r="AJ13" s="11"/>
      <c r="AK13" s="11"/>
      <c r="AL13" s="11"/>
      <c r="AM13" s="11"/>
      <c r="AN13" s="11"/>
      <c r="AO13" s="11"/>
      <c r="AQ13" s="11"/>
      <c r="AR13" s="68"/>
      <c r="AW13" s="66"/>
      <c r="AX13" s="11"/>
      <c r="AY13" s="11"/>
      <c r="AZ13" s="11"/>
      <c r="BA13" s="11"/>
      <c r="BB13" s="11"/>
      <c r="BC13" s="11"/>
      <c r="BE13" s="11"/>
      <c r="BF13" s="69" t="s">
        <v>1268</v>
      </c>
      <c r="BG13" s="15">
        <v>14.0</v>
      </c>
      <c r="BH13" s="15">
        <v>19.0</v>
      </c>
      <c r="BI13" s="15">
        <v>13.0</v>
      </c>
      <c r="BJ13" s="15">
        <v>16.0</v>
      </c>
      <c r="BK13" s="15">
        <v>62.0</v>
      </c>
      <c r="BL13" s="11"/>
    </row>
    <row r="14">
      <c r="A14" s="21" t="s">
        <v>48</v>
      </c>
      <c r="B14" s="21" t="s">
        <v>49</v>
      </c>
      <c r="C14" s="22">
        <v>45195.0</v>
      </c>
      <c r="D14" s="22" t="str">
        <f t="shared" si="1"/>
        <v>09.2023</v>
      </c>
      <c r="E14" s="22">
        <v>45207.0</v>
      </c>
      <c r="F14" s="21" t="s">
        <v>38</v>
      </c>
      <c r="G14" s="23">
        <v>0.1</v>
      </c>
      <c r="H14" s="24">
        <v>8.0</v>
      </c>
      <c r="I14" s="24">
        <v>1.0</v>
      </c>
      <c r="J14" s="24">
        <v>15.0</v>
      </c>
      <c r="K14" s="21" t="s">
        <v>15</v>
      </c>
      <c r="L14" s="21" t="s">
        <v>26</v>
      </c>
      <c r="M14" s="24">
        <v>0.0</v>
      </c>
      <c r="O14" s="11"/>
      <c r="P14" s="11"/>
      <c r="Q14" s="71"/>
      <c r="R14" s="11"/>
      <c r="S14" s="11"/>
      <c r="T14" s="11"/>
      <c r="U14" s="70"/>
      <c r="V14" s="11"/>
      <c r="X14" s="24">
        <f>IFERROR(__xludf.DUMMYFUNCTION("""COMPUTED_VALUE"""),26.0)</f>
        <v>26</v>
      </c>
      <c r="Y14" s="24">
        <f>IFERROR(__xludf.DUMMYFUNCTION("""COMPUTED_VALUE"""),20.0)</f>
        <v>20</v>
      </c>
      <c r="Z14" s="24">
        <f>IFERROR(__xludf.DUMMYFUNCTION("""COMPUTED_VALUE"""),12.0)</f>
        <v>12</v>
      </c>
      <c r="AA14" s="28">
        <f>IFERROR(__xludf.DUMMYFUNCTION("""COMPUTED_VALUE"""),27.0)</f>
        <v>27</v>
      </c>
      <c r="AB14" s="28">
        <f>IFERROR(__xludf.DUMMYFUNCTION("""COMPUTED_VALUE"""),12.0)</f>
        <v>12</v>
      </c>
      <c r="AC14" s="11"/>
      <c r="AD14" s="11"/>
      <c r="AE14" s="11"/>
      <c r="AF14" s="11"/>
      <c r="AG14" s="11"/>
      <c r="AH14" s="11"/>
      <c r="AI14" s="11"/>
      <c r="AJ14" s="11"/>
      <c r="AK14" s="11"/>
      <c r="AL14" s="11"/>
      <c r="AM14" s="11"/>
      <c r="AN14" s="11"/>
      <c r="AO14" s="11"/>
      <c r="AQ14" s="11"/>
      <c r="AR14" s="68"/>
      <c r="AW14" s="66"/>
      <c r="AX14" s="11"/>
      <c r="AY14" s="11"/>
      <c r="AZ14" s="11"/>
      <c r="BA14" s="11"/>
      <c r="BB14" s="11"/>
      <c r="BC14" s="11"/>
      <c r="BE14" s="11"/>
      <c r="BF14" s="69" t="s">
        <v>1269</v>
      </c>
      <c r="BG14" s="15">
        <v>11.0</v>
      </c>
      <c r="BH14" s="15">
        <v>9.0</v>
      </c>
      <c r="BI14" s="15">
        <v>16.0</v>
      </c>
      <c r="BJ14" s="15">
        <v>12.0</v>
      </c>
      <c r="BK14" s="15">
        <v>48.0</v>
      </c>
      <c r="BL14" s="11"/>
    </row>
    <row r="15">
      <c r="A15" s="21" t="s">
        <v>50</v>
      </c>
      <c r="B15" s="21" t="s">
        <v>51</v>
      </c>
      <c r="C15" s="22">
        <v>45110.0</v>
      </c>
      <c r="D15" s="22" t="str">
        <f t="shared" si="1"/>
        <v>07.2023</v>
      </c>
      <c r="E15" s="22">
        <v>45122.0</v>
      </c>
      <c r="F15" s="21" t="s">
        <v>29</v>
      </c>
      <c r="G15" s="23">
        <v>4.5</v>
      </c>
      <c r="H15" s="24">
        <v>27.0</v>
      </c>
      <c r="I15" s="24">
        <v>1.0</v>
      </c>
      <c r="J15" s="24">
        <v>46.0</v>
      </c>
      <c r="K15" s="21" t="s">
        <v>15</v>
      </c>
      <c r="L15" s="21" t="s">
        <v>26</v>
      </c>
      <c r="M15" s="24">
        <v>1.0</v>
      </c>
      <c r="O15" s="11"/>
      <c r="P15" s="11"/>
      <c r="Q15" s="11"/>
      <c r="R15" s="11"/>
      <c r="S15" s="11"/>
      <c r="T15" s="11"/>
      <c r="U15" s="70"/>
      <c r="V15" s="11"/>
      <c r="X15" s="24">
        <f>IFERROR(__xludf.DUMMYFUNCTION("""COMPUTED_VALUE"""),51.0)</f>
        <v>51</v>
      </c>
      <c r="Y15" s="24">
        <f>IFERROR(__xludf.DUMMYFUNCTION("""COMPUTED_VALUE"""),31.0)</f>
        <v>31</v>
      </c>
      <c r="Z15" s="24">
        <f>IFERROR(__xludf.DUMMYFUNCTION("""COMPUTED_VALUE"""),17.0)</f>
        <v>17</v>
      </c>
      <c r="AA15" s="28">
        <f>IFERROR(__xludf.DUMMYFUNCTION("""COMPUTED_VALUE"""),32.0)</f>
        <v>32</v>
      </c>
      <c r="AB15" s="28">
        <f>IFERROR(__xludf.DUMMYFUNCTION("""COMPUTED_VALUE"""),39.0)</f>
        <v>39</v>
      </c>
      <c r="AC15" s="11"/>
      <c r="AD15" s="11"/>
      <c r="AE15" s="11"/>
      <c r="AF15" s="11"/>
      <c r="AG15" s="11"/>
      <c r="AH15" s="11"/>
      <c r="AI15" s="11"/>
      <c r="AJ15" s="20" t="s">
        <v>1270</v>
      </c>
      <c r="AN15" s="14"/>
      <c r="AO15" s="11"/>
      <c r="AQ15" s="11"/>
      <c r="AR15" s="68"/>
      <c r="AW15" s="66"/>
      <c r="AX15" s="11"/>
      <c r="AY15" s="11"/>
      <c r="AZ15" s="11"/>
      <c r="BA15" s="11"/>
      <c r="BB15" s="11"/>
      <c r="BC15" s="11"/>
      <c r="BE15" s="11"/>
      <c r="BF15" s="69" t="s">
        <v>1271</v>
      </c>
      <c r="BG15" s="15">
        <v>10.0</v>
      </c>
      <c r="BH15" s="15">
        <v>17.0</v>
      </c>
      <c r="BI15" s="15">
        <v>3.0</v>
      </c>
      <c r="BJ15" s="15">
        <v>15.0</v>
      </c>
      <c r="BK15" s="15">
        <v>45.0</v>
      </c>
      <c r="BL15" s="11"/>
    </row>
    <row r="16">
      <c r="A16" s="21" t="s">
        <v>52</v>
      </c>
      <c r="B16" s="21" t="s">
        <v>53</v>
      </c>
      <c r="C16" s="22">
        <v>44975.0</v>
      </c>
      <c r="D16" s="22" t="str">
        <f t="shared" si="1"/>
        <v>02.2023</v>
      </c>
      <c r="E16" s="22">
        <v>44987.0</v>
      </c>
      <c r="F16" s="21" t="s">
        <v>38</v>
      </c>
      <c r="G16" s="23">
        <v>3.5</v>
      </c>
      <c r="H16" s="24">
        <v>48.0</v>
      </c>
      <c r="I16" s="24">
        <v>1.0</v>
      </c>
      <c r="J16" s="24">
        <v>13.0</v>
      </c>
      <c r="K16" s="21" t="s">
        <v>19</v>
      </c>
      <c r="L16" s="21" t="s">
        <v>26</v>
      </c>
      <c r="M16" s="24">
        <v>0.0</v>
      </c>
      <c r="O16" s="11"/>
      <c r="P16" s="11"/>
      <c r="Q16" s="11"/>
      <c r="R16" s="11"/>
      <c r="S16" s="11"/>
      <c r="T16" s="11"/>
      <c r="U16" s="11"/>
      <c r="V16" s="11"/>
      <c r="X16" s="24">
        <f>IFERROR(__xludf.DUMMYFUNCTION("""COMPUTED_VALUE"""),49.0)</f>
        <v>49</v>
      </c>
      <c r="Y16" s="24">
        <f>IFERROR(__xludf.DUMMYFUNCTION("""COMPUTED_VALUE"""),30.0)</f>
        <v>30</v>
      </c>
      <c r="Z16" s="24">
        <f>IFERROR(__xludf.DUMMYFUNCTION("""COMPUTED_VALUE"""),26.0)</f>
        <v>26</v>
      </c>
      <c r="AA16" s="28">
        <f>IFERROR(__xludf.DUMMYFUNCTION("""COMPUTED_VALUE"""),28.0)</f>
        <v>28</v>
      </c>
      <c r="AB16" s="28">
        <f>IFERROR(__xludf.DUMMYFUNCTION("""COMPUTED_VALUE"""),21.0)</f>
        <v>21</v>
      </c>
      <c r="AC16" s="11"/>
      <c r="AD16" s="11"/>
      <c r="AE16" s="11"/>
      <c r="AF16" s="11"/>
      <c r="AG16" s="11"/>
      <c r="AH16" s="11"/>
      <c r="AI16" s="11"/>
      <c r="AO16" s="11"/>
      <c r="AQ16" s="11"/>
      <c r="AR16" s="68"/>
      <c r="AW16" s="66"/>
      <c r="AX16" s="11"/>
      <c r="AY16" s="11"/>
      <c r="AZ16" s="11"/>
      <c r="BA16" s="11"/>
      <c r="BB16" s="11"/>
      <c r="BC16" s="11"/>
      <c r="BE16" s="11"/>
      <c r="BF16" s="15" t="s">
        <v>1253</v>
      </c>
      <c r="BG16" s="15">
        <v>141.0</v>
      </c>
      <c r="BH16" s="15">
        <v>154.0</v>
      </c>
      <c r="BI16" s="15">
        <v>152.0</v>
      </c>
      <c r="BJ16" s="15">
        <v>153.0</v>
      </c>
      <c r="BK16" s="15">
        <v>600.0</v>
      </c>
      <c r="BL16" s="11"/>
    </row>
    <row r="17">
      <c r="A17" s="21" t="s">
        <v>54</v>
      </c>
      <c r="B17" s="21" t="s">
        <v>55</v>
      </c>
      <c r="C17" s="22">
        <v>45173.0</v>
      </c>
      <c r="D17" s="22" t="str">
        <f t="shared" si="1"/>
        <v>09.2023</v>
      </c>
      <c r="E17" s="22">
        <v>45185.0</v>
      </c>
      <c r="F17" s="21" t="s">
        <v>38</v>
      </c>
      <c r="G17" s="23">
        <v>4.6</v>
      </c>
      <c r="H17" s="24">
        <v>15.0</v>
      </c>
      <c r="I17" s="24">
        <v>0.0</v>
      </c>
      <c r="J17" s="24">
        <v>21.0</v>
      </c>
      <c r="K17" s="21" t="s">
        <v>19</v>
      </c>
      <c r="L17" s="21" t="s">
        <v>16</v>
      </c>
      <c r="M17" s="24">
        <v>1.0</v>
      </c>
      <c r="O17" s="11"/>
      <c r="P17" s="11"/>
      <c r="Q17" s="11"/>
      <c r="R17" s="11"/>
      <c r="S17" s="11"/>
      <c r="T17" s="11"/>
      <c r="U17" s="11"/>
      <c r="V17" s="11"/>
      <c r="X17" s="24">
        <f>IFERROR(__xludf.DUMMYFUNCTION("""COMPUTED_VALUE"""),41.0)</f>
        <v>41</v>
      </c>
      <c r="Y17" s="24">
        <f>IFERROR(__xludf.DUMMYFUNCTION("""COMPUTED_VALUE"""),49.0)</f>
        <v>49</v>
      </c>
      <c r="Z17" s="24">
        <f>IFERROR(__xludf.DUMMYFUNCTION("""COMPUTED_VALUE"""),33.0)</f>
        <v>33</v>
      </c>
      <c r="AA17" s="28">
        <f>IFERROR(__xludf.DUMMYFUNCTION("""COMPUTED_VALUE"""),16.0)</f>
        <v>16</v>
      </c>
      <c r="AB17" s="28">
        <f>IFERROR(__xludf.DUMMYFUNCTION("""COMPUTED_VALUE"""),34.0)</f>
        <v>34</v>
      </c>
      <c r="AC17" s="11"/>
      <c r="AD17" s="11"/>
      <c r="AE17" s="11"/>
      <c r="AF17" s="11"/>
      <c r="AG17" s="11"/>
      <c r="AH17" s="11"/>
      <c r="AI17" s="11"/>
      <c r="AO17" s="11"/>
      <c r="AQ17" s="11"/>
      <c r="AR17" s="72"/>
      <c r="AS17" s="73"/>
      <c r="AT17" s="73"/>
      <c r="AU17" s="73"/>
      <c r="AV17" s="73"/>
      <c r="AW17" s="74"/>
      <c r="AX17" s="11"/>
      <c r="AY17" s="11"/>
      <c r="AZ17" s="11"/>
      <c r="BA17" s="11"/>
      <c r="BB17" s="11"/>
      <c r="BC17" s="11"/>
      <c r="BE17" s="11"/>
      <c r="BF17" s="11"/>
      <c r="BG17" s="11"/>
      <c r="BH17" s="11"/>
      <c r="BI17" s="11"/>
      <c r="BJ17" s="11"/>
      <c r="BK17" s="11"/>
      <c r="BL17" s="11"/>
    </row>
    <row r="18">
      <c r="A18" s="21" t="s">
        <v>56</v>
      </c>
      <c r="B18" s="21" t="s">
        <v>57</v>
      </c>
      <c r="C18" s="22">
        <v>45218.0</v>
      </c>
      <c r="D18" s="22" t="str">
        <f t="shared" si="1"/>
        <v>10.2023</v>
      </c>
      <c r="E18" s="22">
        <v>45230.0</v>
      </c>
      <c r="F18" s="21" t="s">
        <v>14</v>
      </c>
      <c r="G18" s="23">
        <v>1.8</v>
      </c>
      <c r="H18" s="24">
        <v>71.0</v>
      </c>
      <c r="I18" s="24">
        <v>0.0</v>
      </c>
      <c r="J18" s="24">
        <v>14.0</v>
      </c>
      <c r="K18" s="21" t="s">
        <v>23</v>
      </c>
      <c r="L18" s="21" t="s">
        <v>26</v>
      </c>
      <c r="M18" s="24">
        <v>1.0</v>
      </c>
      <c r="O18" s="11"/>
      <c r="P18" s="11"/>
      <c r="Q18" s="11"/>
      <c r="R18" s="11"/>
      <c r="S18" s="11"/>
      <c r="T18" s="11"/>
      <c r="U18" s="11"/>
      <c r="V18" s="11"/>
      <c r="X18" s="24">
        <f>IFERROR(__xludf.DUMMYFUNCTION("""COMPUTED_VALUE"""),29.0)</f>
        <v>29</v>
      </c>
      <c r="Y18" s="24">
        <f>IFERROR(__xludf.DUMMYFUNCTION("""COMPUTED_VALUE"""),40.0)</f>
        <v>40</v>
      </c>
      <c r="Z18" s="24">
        <f>IFERROR(__xludf.DUMMYFUNCTION("""COMPUTED_VALUE"""),21.0)</f>
        <v>21</v>
      </c>
      <c r="AA18" s="28">
        <f>IFERROR(__xludf.DUMMYFUNCTION("""COMPUTED_VALUE"""),42.0)</f>
        <v>42</v>
      </c>
      <c r="AB18" s="28">
        <f>IFERROR(__xludf.DUMMYFUNCTION("""COMPUTED_VALUE"""),47.0)</f>
        <v>47</v>
      </c>
      <c r="AC18" s="11"/>
      <c r="AD18" s="11"/>
      <c r="AE18" s="11"/>
      <c r="AF18" s="11"/>
      <c r="AG18" s="11"/>
      <c r="AH18" s="29" t="s">
        <v>1237</v>
      </c>
      <c r="AI18" s="11"/>
      <c r="AO18" s="11"/>
      <c r="AQ18" s="11"/>
      <c r="AR18" s="11"/>
      <c r="AS18" s="11"/>
      <c r="AT18" s="11"/>
      <c r="AU18" s="11"/>
      <c r="AV18" s="11"/>
      <c r="AW18" s="11"/>
      <c r="AX18" s="11"/>
      <c r="AY18" s="11"/>
      <c r="AZ18" s="11"/>
      <c r="BA18" s="11"/>
      <c r="BB18" s="11"/>
      <c r="BC18" s="11"/>
      <c r="BE18" s="11"/>
      <c r="BF18" s="61" t="s">
        <v>1260</v>
      </c>
      <c r="BG18" s="62"/>
      <c r="BH18" s="62"/>
      <c r="BI18" s="62"/>
      <c r="BJ18" s="63"/>
      <c r="BK18" s="11"/>
      <c r="BL18" s="11"/>
    </row>
    <row r="19">
      <c r="A19" s="21" t="s">
        <v>58</v>
      </c>
      <c r="B19" s="21" t="s">
        <v>59</v>
      </c>
      <c r="C19" s="22">
        <v>44961.0</v>
      </c>
      <c r="D19" s="22" t="str">
        <f t="shared" si="1"/>
        <v>02.2023</v>
      </c>
      <c r="E19" s="22">
        <v>44973.0</v>
      </c>
      <c r="F19" s="21" t="s">
        <v>38</v>
      </c>
      <c r="G19" s="23">
        <v>0.0</v>
      </c>
      <c r="H19" s="24">
        <v>28.0</v>
      </c>
      <c r="I19" s="24">
        <v>0.0</v>
      </c>
      <c r="J19" s="24">
        <v>56.0</v>
      </c>
      <c r="K19" s="21" t="s">
        <v>35</v>
      </c>
      <c r="L19" s="21" t="s">
        <v>16</v>
      </c>
      <c r="M19" s="24">
        <v>1.0</v>
      </c>
      <c r="O19" s="11"/>
      <c r="P19" s="11"/>
      <c r="Q19" s="11"/>
      <c r="R19" s="11"/>
      <c r="S19" s="11"/>
      <c r="T19" s="11"/>
      <c r="U19" s="11"/>
      <c r="V19" s="11"/>
      <c r="X19" s="24">
        <f>IFERROR(__xludf.DUMMYFUNCTION("""COMPUTED_VALUE"""),24.0)</f>
        <v>24</v>
      </c>
      <c r="Y19" s="24">
        <f>IFERROR(__xludf.DUMMYFUNCTION("""COMPUTED_VALUE"""),50.0)</f>
        <v>50</v>
      </c>
      <c r="Z19" s="24">
        <f>IFERROR(__xludf.DUMMYFUNCTION("""COMPUTED_VALUE"""),25.0)</f>
        <v>25</v>
      </c>
      <c r="AA19" s="28">
        <f>IFERROR(__xludf.DUMMYFUNCTION("""COMPUTED_VALUE"""),40.0)</f>
        <v>40</v>
      </c>
      <c r="AB19" s="28">
        <f>IFERROR(__xludf.DUMMYFUNCTION("""COMPUTED_VALUE"""),19.0)</f>
        <v>19</v>
      </c>
      <c r="AC19" s="11"/>
      <c r="AD19" s="11"/>
      <c r="AE19" s="11"/>
      <c r="AF19" s="11"/>
      <c r="AG19" s="11"/>
      <c r="AH19" s="75" t="s">
        <v>1272</v>
      </c>
      <c r="AI19" s="11"/>
      <c r="AO19" s="11"/>
      <c r="AQ19" s="11"/>
      <c r="AR19" s="70"/>
      <c r="AS19" s="11"/>
      <c r="AT19" s="11"/>
      <c r="AU19" s="11"/>
      <c r="AV19" s="11"/>
      <c r="AW19" s="11"/>
      <c r="AX19" s="11"/>
      <c r="AY19" s="11"/>
      <c r="AZ19" s="11"/>
      <c r="BA19" s="11"/>
      <c r="BB19" s="11"/>
      <c r="BC19" s="11"/>
      <c r="BE19" s="11"/>
      <c r="BF19" s="65" t="s">
        <v>1273</v>
      </c>
      <c r="BJ19" s="66"/>
      <c r="BK19" s="11"/>
      <c r="BL19" s="11"/>
    </row>
    <row r="20">
      <c r="A20" s="21" t="s">
        <v>60</v>
      </c>
      <c r="B20" s="21" t="s">
        <v>61</v>
      </c>
      <c r="C20" s="22">
        <v>44985.0</v>
      </c>
      <c r="D20" s="22" t="str">
        <f t="shared" si="1"/>
        <v>02.2023</v>
      </c>
      <c r="E20" s="22">
        <v>44997.0</v>
      </c>
      <c r="F20" s="21" t="s">
        <v>38</v>
      </c>
      <c r="G20" s="23">
        <v>2.2</v>
      </c>
      <c r="H20" s="24">
        <v>66.0</v>
      </c>
      <c r="I20" s="24">
        <v>1.0</v>
      </c>
      <c r="J20" s="24">
        <v>37.0</v>
      </c>
      <c r="K20" s="21" t="s">
        <v>23</v>
      </c>
      <c r="L20" s="21" t="s">
        <v>47</v>
      </c>
      <c r="M20" s="24">
        <v>1.0</v>
      </c>
      <c r="O20" s="11"/>
      <c r="P20" s="11"/>
      <c r="Q20" s="11"/>
      <c r="R20" s="11"/>
      <c r="S20" s="11"/>
      <c r="T20" s="11"/>
      <c r="U20" s="11"/>
      <c r="V20" s="11"/>
      <c r="X20" s="24">
        <f>IFERROR(__xludf.DUMMYFUNCTION("""COMPUTED_VALUE"""),27.0)</f>
        <v>27</v>
      </c>
      <c r="Y20" s="24">
        <f>IFERROR(__xludf.DUMMYFUNCTION("""COMPUTED_VALUE"""),49.0)</f>
        <v>49</v>
      </c>
      <c r="Z20" s="24">
        <f>IFERROR(__xludf.DUMMYFUNCTION("""COMPUTED_VALUE"""),24.0)</f>
        <v>24</v>
      </c>
      <c r="AA20" s="28">
        <f>IFERROR(__xludf.DUMMYFUNCTION("""COMPUTED_VALUE"""),20.0)</f>
        <v>20</v>
      </c>
      <c r="AB20" s="28">
        <f>IFERROR(__xludf.DUMMYFUNCTION("""COMPUTED_VALUE"""),46.0)</f>
        <v>46</v>
      </c>
      <c r="AC20" s="11"/>
      <c r="AD20" s="11"/>
      <c r="AE20" s="11"/>
      <c r="AF20" s="11"/>
      <c r="AG20" s="11"/>
      <c r="AH20" s="46"/>
      <c r="AI20" s="11"/>
      <c r="AO20" s="14"/>
      <c r="AP20" s="15"/>
      <c r="AQ20" s="14"/>
      <c r="AR20" s="70"/>
      <c r="AS20" s="11"/>
      <c r="AT20" s="11"/>
      <c r="AU20" s="11"/>
      <c r="AV20" s="11"/>
      <c r="AW20" s="11"/>
      <c r="AX20" s="11"/>
      <c r="AY20" s="14"/>
      <c r="AZ20" s="14"/>
      <c r="BA20" s="14"/>
      <c r="BB20" s="14"/>
      <c r="BC20" s="14"/>
      <c r="BD20" s="15"/>
      <c r="BE20" s="14"/>
      <c r="BF20" s="68"/>
      <c r="BJ20" s="66"/>
      <c r="BK20" s="11"/>
      <c r="BL20" s="14"/>
    </row>
    <row r="21">
      <c r="A21" s="21" t="s">
        <v>62</v>
      </c>
      <c r="B21" s="21" t="s">
        <v>63</v>
      </c>
      <c r="C21" s="22">
        <v>45115.0</v>
      </c>
      <c r="D21" s="22" t="str">
        <f t="shared" si="1"/>
        <v>07.2023</v>
      </c>
      <c r="E21" s="22">
        <v>45127.0</v>
      </c>
      <c r="F21" s="21" t="s">
        <v>29</v>
      </c>
      <c r="G21" s="23">
        <v>1.7</v>
      </c>
      <c r="H21" s="24">
        <v>51.0</v>
      </c>
      <c r="I21" s="24">
        <v>1.0</v>
      </c>
      <c r="J21" s="24">
        <v>33.0</v>
      </c>
      <c r="K21" s="21" t="s">
        <v>35</v>
      </c>
      <c r="L21" s="21" t="s">
        <v>47</v>
      </c>
      <c r="M21" s="24">
        <v>1.0</v>
      </c>
      <c r="O21" s="11"/>
      <c r="P21" s="11"/>
      <c r="Q21" s="11"/>
      <c r="R21" s="11"/>
      <c r="S21" s="11"/>
      <c r="T21" s="11"/>
      <c r="U21" s="11"/>
      <c r="V21" s="11"/>
      <c r="X21" s="24">
        <f>IFERROR(__xludf.DUMMYFUNCTION("""COMPUTED_VALUE"""),18.0)</f>
        <v>18</v>
      </c>
      <c r="Y21" s="24">
        <f>IFERROR(__xludf.DUMMYFUNCTION("""COMPUTED_VALUE"""),20.0)</f>
        <v>20</v>
      </c>
      <c r="Z21" s="24">
        <f>IFERROR(__xludf.DUMMYFUNCTION("""COMPUTED_VALUE"""),18.0)</f>
        <v>18</v>
      </c>
      <c r="AA21" s="28">
        <f>IFERROR(__xludf.DUMMYFUNCTION("""COMPUTED_VALUE"""),31.0)</f>
        <v>31</v>
      </c>
      <c r="AB21" s="28">
        <f>IFERROR(__xludf.DUMMYFUNCTION("""COMPUTED_VALUE"""),30.0)</f>
        <v>30</v>
      </c>
      <c r="AC21" s="11"/>
      <c r="AD21" s="11"/>
      <c r="AE21" s="11"/>
      <c r="AF21" s="11"/>
      <c r="AG21" s="11"/>
      <c r="AH21" s="46"/>
      <c r="AI21" s="11"/>
      <c r="AO21" s="14"/>
      <c r="AP21" s="15"/>
      <c r="AQ21" s="14"/>
      <c r="AR21" s="70"/>
      <c r="AS21" s="11"/>
      <c r="AT21" s="11"/>
      <c r="AU21" s="11"/>
      <c r="AV21" s="11"/>
      <c r="AW21" s="11"/>
      <c r="AX21" s="11"/>
      <c r="AY21" s="14"/>
      <c r="AZ21" s="14"/>
      <c r="BA21" s="14"/>
      <c r="BB21" s="14"/>
      <c r="BC21" s="14"/>
      <c r="BD21" s="15"/>
      <c r="BE21" s="14"/>
      <c r="BF21" s="72"/>
      <c r="BG21" s="73"/>
      <c r="BH21" s="73"/>
      <c r="BI21" s="73"/>
      <c r="BJ21" s="74"/>
      <c r="BK21" s="11"/>
      <c r="BL21" s="14"/>
    </row>
    <row r="22">
      <c r="A22" s="21" t="s">
        <v>64</v>
      </c>
      <c r="B22" s="21" t="s">
        <v>65</v>
      </c>
      <c r="C22" s="22">
        <v>45056.0</v>
      </c>
      <c r="D22" s="22" t="str">
        <f t="shared" si="1"/>
        <v>05.2023</v>
      </c>
      <c r="E22" s="22">
        <v>45068.0</v>
      </c>
      <c r="F22" s="21" t="s">
        <v>38</v>
      </c>
      <c r="G22" s="23">
        <v>3.1</v>
      </c>
      <c r="H22" s="24">
        <v>47.0</v>
      </c>
      <c r="I22" s="24">
        <v>1.0</v>
      </c>
      <c r="J22" s="24">
        <v>53.0</v>
      </c>
      <c r="K22" s="21" t="s">
        <v>32</v>
      </c>
      <c r="L22" s="21" t="s">
        <v>47</v>
      </c>
      <c r="M22" s="24">
        <v>1.0</v>
      </c>
      <c r="O22" s="11"/>
      <c r="P22" s="11"/>
      <c r="Q22" s="11"/>
      <c r="R22" s="11"/>
      <c r="S22" s="11"/>
      <c r="T22" s="11"/>
      <c r="U22" s="11"/>
      <c r="V22" s="11"/>
      <c r="X22" s="24">
        <f>IFERROR(__xludf.DUMMYFUNCTION("""COMPUTED_VALUE"""),54.0)</f>
        <v>54</v>
      </c>
      <c r="Y22" s="24">
        <f>IFERROR(__xludf.DUMMYFUNCTION("""COMPUTED_VALUE"""),45.0)</f>
        <v>45</v>
      </c>
      <c r="Z22" s="24">
        <f>IFERROR(__xludf.DUMMYFUNCTION("""COMPUTED_VALUE"""),48.0)</f>
        <v>48</v>
      </c>
      <c r="AA22" s="28">
        <f>IFERROR(__xludf.DUMMYFUNCTION("""COMPUTED_VALUE"""),14.0)</f>
        <v>14</v>
      </c>
      <c r="AB22" s="28">
        <f>IFERROR(__xludf.DUMMYFUNCTION("""COMPUTED_VALUE"""),36.0)</f>
        <v>36</v>
      </c>
      <c r="AC22" s="11"/>
      <c r="AD22" s="11"/>
      <c r="AE22" s="11"/>
      <c r="AF22" s="11"/>
      <c r="AG22" s="11"/>
      <c r="AH22" s="46"/>
      <c r="AI22" s="11"/>
      <c r="AJ22" s="11"/>
      <c r="AK22" s="11"/>
      <c r="AL22" s="11"/>
      <c r="AM22" s="11"/>
      <c r="AN22" s="11"/>
      <c r="AO22" s="14"/>
      <c r="AP22" s="15"/>
      <c r="AQ22" s="14"/>
      <c r="AR22" s="70"/>
      <c r="AS22" s="11"/>
      <c r="AT22" s="11"/>
      <c r="AU22" s="11"/>
      <c r="AV22" s="11"/>
      <c r="AW22" s="11"/>
      <c r="AX22" s="11"/>
      <c r="AY22" s="14"/>
      <c r="AZ22" s="14"/>
      <c r="BA22" s="14"/>
      <c r="BB22" s="14"/>
      <c r="BC22" s="14"/>
      <c r="BD22" s="15"/>
      <c r="BE22" s="14"/>
      <c r="BF22" s="11"/>
      <c r="BG22" s="11"/>
      <c r="BH22" s="11"/>
      <c r="BI22" s="11"/>
      <c r="BJ22" s="11"/>
      <c r="BK22" s="11"/>
      <c r="BL22" s="14"/>
    </row>
    <row r="23">
      <c r="A23" s="21" t="s">
        <v>66</v>
      </c>
      <c r="B23" s="21" t="s">
        <v>67</v>
      </c>
      <c r="C23" s="22">
        <v>45072.0</v>
      </c>
      <c r="D23" s="22" t="str">
        <f t="shared" si="1"/>
        <v>05.2023</v>
      </c>
      <c r="E23" s="22">
        <v>45084.0</v>
      </c>
      <c r="F23" s="21" t="s">
        <v>22</v>
      </c>
      <c r="G23" s="23">
        <v>2.7</v>
      </c>
      <c r="H23" s="24">
        <v>26.0</v>
      </c>
      <c r="I23" s="24">
        <v>1.0</v>
      </c>
      <c r="J23" s="24">
        <v>26.0</v>
      </c>
      <c r="K23" s="21" t="s">
        <v>15</v>
      </c>
      <c r="L23" s="21" t="s">
        <v>26</v>
      </c>
      <c r="M23" s="24">
        <v>1.0</v>
      </c>
      <c r="O23" s="11"/>
      <c r="P23" s="61" t="s">
        <v>1274</v>
      </c>
      <c r="Q23" s="63"/>
      <c r="R23" s="11"/>
      <c r="S23" s="79" t="s">
        <v>1274</v>
      </c>
      <c r="T23" s="80"/>
      <c r="U23" s="81"/>
      <c r="V23" s="11"/>
      <c r="X23" s="24">
        <f>IFERROR(__xludf.DUMMYFUNCTION("""COMPUTED_VALUE"""),20.0)</f>
        <v>20</v>
      </c>
      <c r="Y23" s="24">
        <f>IFERROR(__xludf.DUMMYFUNCTION("""COMPUTED_VALUE"""),44.0)</f>
        <v>44</v>
      </c>
      <c r="Z23" s="24">
        <f>IFERROR(__xludf.DUMMYFUNCTION("""COMPUTED_VALUE"""),19.0)</f>
        <v>19</v>
      </c>
      <c r="AA23" s="28">
        <f>IFERROR(__xludf.DUMMYFUNCTION("""COMPUTED_VALUE"""),33.0)</f>
        <v>33</v>
      </c>
      <c r="AB23" s="28">
        <f>IFERROR(__xludf.DUMMYFUNCTION("""COMPUTED_VALUE"""),41.0)</f>
        <v>41</v>
      </c>
      <c r="AC23" s="11"/>
      <c r="AD23" s="11"/>
      <c r="AE23" s="11"/>
      <c r="AF23" s="11"/>
      <c r="AG23" s="11"/>
      <c r="AH23" s="46"/>
      <c r="AI23" s="11"/>
      <c r="AJ23" s="11"/>
      <c r="AK23" s="11"/>
      <c r="AL23" s="11"/>
      <c r="AM23" s="11"/>
      <c r="AN23" s="11"/>
      <c r="AO23" s="14"/>
      <c r="AP23" s="15"/>
      <c r="AQ23" s="14"/>
      <c r="AR23" s="70"/>
      <c r="AS23" s="11"/>
      <c r="AT23" s="11"/>
      <c r="AU23" s="11"/>
      <c r="AV23" s="11"/>
      <c r="AW23" s="11"/>
      <c r="AX23" s="11"/>
      <c r="AY23" s="14"/>
      <c r="AZ23" s="14"/>
      <c r="BA23" s="14"/>
      <c r="BB23" s="14"/>
      <c r="BC23" s="14"/>
      <c r="BD23" s="15"/>
      <c r="BE23" s="14"/>
      <c r="BF23" s="11"/>
      <c r="BG23" s="11"/>
      <c r="BH23" s="11"/>
      <c r="BI23" s="11"/>
      <c r="BJ23" s="11"/>
      <c r="BK23" s="11"/>
      <c r="BL23" s="14"/>
    </row>
    <row r="24">
      <c r="A24" s="21" t="s">
        <v>68</v>
      </c>
      <c r="B24" s="21" t="s">
        <v>69</v>
      </c>
      <c r="C24" s="22">
        <v>45098.0</v>
      </c>
      <c r="D24" s="22" t="str">
        <f t="shared" si="1"/>
        <v>06.2023</v>
      </c>
      <c r="E24" s="22">
        <v>45110.0</v>
      </c>
      <c r="F24" s="21" t="s">
        <v>14</v>
      </c>
      <c r="G24" s="23">
        <v>4.0</v>
      </c>
      <c r="H24" s="24">
        <v>60.0</v>
      </c>
      <c r="I24" s="24">
        <v>1.0</v>
      </c>
      <c r="J24" s="24">
        <v>51.0</v>
      </c>
      <c r="K24" s="21" t="s">
        <v>15</v>
      </c>
      <c r="L24" s="21" t="s">
        <v>16</v>
      </c>
      <c r="M24" s="24">
        <v>0.0</v>
      </c>
      <c r="O24" s="11"/>
      <c r="P24" s="82" t="s">
        <v>1275</v>
      </c>
      <c r="Q24" s="66"/>
      <c r="R24" s="11"/>
      <c r="S24" s="83" t="s">
        <v>1276</v>
      </c>
      <c r="U24" s="66"/>
      <c r="V24" s="11"/>
      <c r="X24" s="24">
        <f>IFERROR(__xludf.DUMMYFUNCTION("""COMPUTED_VALUE"""),16.0)</f>
        <v>16</v>
      </c>
      <c r="Y24" s="24">
        <f>IFERROR(__xludf.DUMMYFUNCTION("""COMPUTED_VALUE"""),53.0)</f>
        <v>53</v>
      </c>
      <c r="Z24" s="24">
        <f>IFERROR(__xludf.DUMMYFUNCTION("""COMPUTED_VALUE"""),34.0)</f>
        <v>34</v>
      </c>
      <c r="AA24" s="28">
        <f>IFERROR(__xludf.DUMMYFUNCTION("""COMPUTED_VALUE"""),23.0)</f>
        <v>23</v>
      </c>
      <c r="AB24" s="28">
        <f>IFERROR(__xludf.DUMMYFUNCTION("""COMPUTED_VALUE"""),32.0)</f>
        <v>32</v>
      </c>
      <c r="AC24" s="11"/>
      <c r="AD24" s="11"/>
      <c r="AE24" s="11"/>
      <c r="AF24" s="11"/>
      <c r="AG24" s="11"/>
      <c r="AH24" s="46"/>
      <c r="AI24" s="11"/>
      <c r="AJ24" s="61" t="s">
        <v>1260</v>
      </c>
      <c r="AK24" s="62"/>
      <c r="AL24" s="63"/>
      <c r="AM24" s="11"/>
      <c r="AN24" s="11"/>
      <c r="AO24" s="14"/>
      <c r="AP24" s="15"/>
      <c r="AQ24" s="14"/>
      <c r="AR24" s="14"/>
      <c r="AS24" s="14"/>
      <c r="AT24" s="14"/>
      <c r="AU24" s="14"/>
      <c r="AV24" s="14"/>
      <c r="AW24" s="14"/>
      <c r="AX24" s="14"/>
      <c r="AY24" s="14"/>
      <c r="AZ24" s="14"/>
      <c r="BA24" s="14"/>
      <c r="BB24" s="14"/>
      <c r="BC24" s="14"/>
      <c r="BD24" s="15"/>
      <c r="BE24" s="14"/>
      <c r="BF24" s="11"/>
      <c r="BG24" s="11"/>
      <c r="BH24" s="11"/>
      <c r="BI24" s="11"/>
      <c r="BJ24" s="11"/>
      <c r="BK24" s="11"/>
      <c r="BL24" s="14"/>
    </row>
    <row r="25">
      <c r="A25" s="21" t="s">
        <v>70</v>
      </c>
      <c r="B25" s="21" t="s">
        <v>71</v>
      </c>
      <c r="C25" s="22">
        <v>45167.0</v>
      </c>
      <c r="D25" s="22" t="str">
        <f t="shared" si="1"/>
        <v>08.2023</v>
      </c>
      <c r="E25" s="22">
        <v>45179.0</v>
      </c>
      <c r="F25" s="21" t="s">
        <v>22</v>
      </c>
      <c r="G25" s="23">
        <v>3.7</v>
      </c>
      <c r="H25" s="24">
        <v>40.0</v>
      </c>
      <c r="I25" s="24">
        <v>0.0</v>
      </c>
      <c r="J25" s="24">
        <v>28.0</v>
      </c>
      <c r="K25" s="21" t="s">
        <v>35</v>
      </c>
      <c r="L25" s="21" t="s">
        <v>16</v>
      </c>
      <c r="M25" s="24">
        <v>1.0</v>
      </c>
      <c r="O25" s="11"/>
      <c r="P25" s="68"/>
      <c r="Q25" s="66"/>
      <c r="R25" s="11"/>
      <c r="S25" s="68"/>
      <c r="U25" s="66"/>
      <c r="V25" s="11"/>
      <c r="X25" s="24">
        <f>IFERROR(__xludf.DUMMYFUNCTION("""COMPUTED_VALUE"""),53.0)</f>
        <v>53</v>
      </c>
      <c r="Y25" s="24">
        <f>IFERROR(__xludf.DUMMYFUNCTION("""COMPUTED_VALUE"""),30.0)</f>
        <v>30</v>
      </c>
      <c r="Z25" s="24">
        <f>IFERROR(__xludf.DUMMYFUNCTION("""COMPUTED_VALUE"""),36.0)</f>
        <v>36</v>
      </c>
      <c r="AA25" s="28">
        <f>IFERROR(__xludf.DUMMYFUNCTION("""COMPUTED_VALUE"""),15.0)</f>
        <v>15</v>
      </c>
      <c r="AB25" s="28">
        <f>IFERROR(__xludf.DUMMYFUNCTION("""COMPUTED_VALUE"""),46.0)</f>
        <v>46</v>
      </c>
      <c r="AC25" s="11"/>
      <c r="AD25" s="11"/>
      <c r="AE25" s="11"/>
      <c r="AF25" s="11"/>
      <c r="AG25" s="11"/>
      <c r="AH25" s="60"/>
      <c r="AI25" s="11"/>
      <c r="AJ25" s="84" t="s">
        <v>1277</v>
      </c>
      <c r="AL25" s="66"/>
      <c r="AM25" s="11"/>
      <c r="AN25" s="11"/>
      <c r="AO25" s="14"/>
      <c r="AP25" s="15"/>
      <c r="AQ25" s="14"/>
      <c r="AR25" s="14"/>
      <c r="AS25" s="14"/>
      <c r="AT25" s="14"/>
      <c r="AU25" s="14"/>
      <c r="AV25" s="14"/>
      <c r="AW25" s="14"/>
      <c r="AX25" s="14"/>
      <c r="AY25" s="14"/>
      <c r="AZ25" s="14"/>
      <c r="BA25" s="14"/>
      <c r="BB25" s="14"/>
      <c r="BC25" s="14"/>
      <c r="BD25" s="15"/>
      <c r="BE25" s="14"/>
      <c r="BF25" s="11"/>
      <c r="BG25" s="11"/>
      <c r="BH25" s="11"/>
      <c r="BI25" s="11"/>
      <c r="BJ25" s="11"/>
      <c r="BK25" s="11"/>
      <c r="BL25" s="14"/>
    </row>
    <row r="26" ht="16.5" customHeight="1">
      <c r="A26" s="21" t="s">
        <v>72</v>
      </c>
      <c r="B26" s="21" t="s">
        <v>73</v>
      </c>
      <c r="C26" s="22">
        <v>44936.0</v>
      </c>
      <c r="D26" s="22" t="str">
        <f t="shared" si="1"/>
        <v>01.2023</v>
      </c>
      <c r="E26" s="22">
        <v>44948.0</v>
      </c>
      <c r="F26" s="21" t="s">
        <v>14</v>
      </c>
      <c r="G26" s="23">
        <v>2.9</v>
      </c>
      <c r="H26" s="24">
        <v>56.0</v>
      </c>
      <c r="I26" s="24">
        <v>0.0</v>
      </c>
      <c r="J26" s="24">
        <v>50.0</v>
      </c>
      <c r="K26" s="21" t="s">
        <v>15</v>
      </c>
      <c r="L26" s="21" t="s">
        <v>26</v>
      </c>
      <c r="M26" s="24">
        <v>1.0</v>
      </c>
      <c r="O26" s="11"/>
      <c r="P26" s="68"/>
      <c r="Q26" s="66"/>
      <c r="R26" s="11"/>
      <c r="S26" s="68"/>
      <c r="U26" s="66"/>
      <c r="V26" s="11"/>
      <c r="X26" s="24">
        <f>IFERROR(__xludf.DUMMYFUNCTION("""COMPUTED_VALUE"""),34.0)</f>
        <v>34</v>
      </c>
      <c r="Y26" s="24">
        <f>IFERROR(__xludf.DUMMYFUNCTION("""COMPUTED_VALUE"""),26.0)</f>
        <v>26</v>
      </c>
      <c r="Z26" s="24">
        <f>IFERROR(__xludf.DUMMYFUNCTION("""COMPUTED_VALUE"""),49.0)</f>
        <v>49</v>
      </c>
      <c r="AA26" s="28">
        <f>IFERROR(__xludf.DUMMYFUNCTION("""COMPUTED_VALUE"""),50.0)</f>
        <v>50</v>
      </c>
      <c r="AB26" s="28">
        <f>IFERROR(__xludf.DUMMYFUNCTION("""COMPUTED_VALUE"""),22.0)</f>
        <v>22</v>
      </c>
      <c r="AC26" s="11"/>
      <c r="AD26" s="11"/>
      <c r="AE26" s="11"/>
      <c r="AF26" s="11"/>
      <c r="AG26" s="11"/>
      <c r="AH26" s="11"/>
      <c r="AI26" s="11"/>
      <c r="AJ26" s="65" t="s">
        <v>1278</v>
      </c>
      <c r="AL26" s="66"/>
      <c r="AM26" s="11"/>
      <c r="AN26" s="11"/>
      <c r="AO26" s="14"/>
      <c r="AP26" s="15"/>
      <c r="AQ26" s="14"/>
      <c r="AR26" s="14"/>
      <c r="AS26" s="14"/>
      <c r="AT26" s="14"/>
      <c r="AU26" s="14"/>
      <c r="AV26" s="14"/>
      <c r="AW26" s="14"/>
      <c r="AX26" s="14"/>
      <c r="AY26" s="14"/>
      <c r="AZ26" s="14"/>
      <c r="BA26" s="14"/>
      <c r="BB26" s="14"/>
      <c r="BC26" s="14"/>
      <c r="BD26" s="15"/>
      <c r="BE26" s="14"/>
      <c r="BF26" s="14"/>
      <c r="BG26" s="14"/>
      <c r="BH26" s="14"/>
      <c r="BI26" s="14"/>
      <c r="BJ26" s="14"/>
      <c r="BK26" s="14"/>
      <c r="BL26" s="14"/>
    </row>
    <row r="27">
      <c r="A27" s="21" t="s">
        <v>74</v>
      </c>
      <c r="B27" s="21" t="s">
        <v>75</v>
      </c>
      <c r="C27" s="22">
        <v>45176.0</v>
      </c>
      <c r="D27" s="22" t="str">
        <f t="shared" si="1"/>
        <v>09.2023</v>
      </c>
      <c r="E27" s="22">
        <v>45188.0</v>
      </c>
      <c r="F27" s="21" t="s">
        <v>14</v>
      </c>
      <c r="G27" s="23">
        <v>1.0</v>
      </c>
      <c r="H27" s="24">
        <v>69.0</v>
      </c>
      <c r="I27" s="24">
        <v>0.0</v>
      </c>
      <c r="J27" s="24">
        <v>19.0</v>
      </c>
      <c r="K27" s="21" t="s">
        <v>23</v>
      </c>
      <c r="L27" s="21" t="s">
        <v>47</v>
      </c>
      <c r="M27" s="24">
        <v>1.0</v>
      </c>
      <c r="O27" s="11"/>
      <c r="P27" s="72"/>
      <c r="Q27" s="74"/>
      <c r="R27" s="11"/>
      <c r="S27" s="72"/>
      <c r="T27" s="73"/>
      <c r="U27" s="74"/>
      <c r="V27" s="11"/>
      <c r="X27" s="24">
        <f>IFERROR(__xludf.DUMMYFUNCTION("""COMPUTED_VALUE"""),45.0)</f>
        <v>45</v>
      </c>
      <c r="Y27" s="24">
        <f>IFERROR(__xludf.DUMMYFUNCTION("""COMPUTED_VALUE"""),38.0)</f>
        <v>38</v>
      </c>
      <c r="Z27" s="24">
        <f>IFERROR(__xludf.DUMMYFUNCTION("""COMPUTED_VALUE"""),12.0)</f>
        <v>12</v>
      </c>
      <c r="AA27" s="28">
        <f>IFERROR(__xludf.DUMMYFUNCTION("""COMPUTED_VALUE"""),43.0)</f>
        <v>43</v>
      </c>
      <c r="AB27" s="28">
        <f>IFERROR(__xludf.DUMMYFUNCTION("""COMPUTED_VALUE"""),35.0)</f>
        <v>35</v>
      </c>
      <c r="AC27" s="11"/>
      <c r="AD27" s="11"/>
      <c r="AE27" s="11"/>
      <c r="AF27" s="11"/>
      <c r="AG27" s="11"/>
      <c r="AH27" s="11"/>
      <c r="AI27" s="11"/>
      <c r="AJ27" s="68"/>
      <c r="AL27" s="66"/>
      <c r="AM27" s="11"/>
      <c r="AN27" s="11"/>
      <c r="AO27" s="14"/>
      <c r="AP27" s="15"/>
      <c r="AQ27" s="14"/>
      <c r="AR27" s="14"/>
      <c r="AS27" s="14"/>
      <c r="AT27" s="14"/>
      <c r="AU27" s="14"/>
      <c r="AV27" s="14"/>
      <c r="AW27" s="14"/>
      <c r="AX27" s="14"/>
      <c r="AY27" s="14"/>
      <c r="AZ27" s="14"/>
      <c r="BA27" s="14"/>
      <c r="BB27" s="14"/>
      <c r="BC27" s="14"/>
      <c r="BD27" s="15"/>
      <c r="BE27" s="14"/>
      <c r="BF27" s="14"/>
      <c r="BG27" s="14"/>
      <c r="BH27" s="14"/>
      <c r="BI27" s="14"/>
      <c r="BJ27" s="14"/>
      <c r="BK27" s="14"/>
      <c r="BL27" s="14"/>
    </row>
    <row r="28">
      <c r="A28" s="21" t="s">
        <v>76</v>
      </c>
      <c r="B28" s="21" t="s">
        <v>77</v>
      </c>
      <c r="C28" s="22">
        <v>45071.0</v>
      </c>
      <c r="D28" s="22" t="str">
        <f t="shared" si="1"/>
        <v>05.2023</v>
      </c>
      <c r="E28" s="22">
        <v>45083.0</v>
      </c>
      <c r="F28" s="21" t="s">
        <v>29</v>
      </c>
      <c r="G28" s="23">
        <v>1.4</v>
      </c>
      <c r="H28" s="24">
        <v>63.0</v>
      </c>
      <c r="I28" s="24">
        <v>0.0</v>
      </c>
      <c r="J28" s="24">
        <v>45.0</v>
      </c>
      <c r="K28" s="21" t="s">
        <v>23</v>
      </c>
      <c r="L28" s="21" t="s">
        <v>16</v>
      </c>
      <c r="M28" s="24">
        <v>1.0</v>
      </c>
      <c r="O28" s="11"/>
      <c r="P28" s="11"/>
      <c r="Q28" s="11"/>
      <c r="R28" s="11"/>
      <c r="S28" s="11"/>
      <c r="T28" s="11"/>
      <c r="U28" s="11"/>
      <c r="V28" s="11"/>
      <c r="X28" s="24">
        <f>IFERROR(__xludf.DUMMYFUNCTION("""COMPUTED_VALUE"""),25.0)</f>
        <v>25</v>
      </c>
      <c r="Y28" s="24">
        <f>IFERROR(__xludf.DUMMYFUNCTION("""COMPUTED_VALUE"""),28.0)</f>
        <v>28</v>
      </c>
      <c r="Z28" s="24">
        <f>IFERROR(__xludf.DUMMYFUNCTION("""COMPUTED_VALUE"""),16.0)</f>
        <v>16</v>
      </c>
      <c r="AA28" s="28">
        <f>IFERROR(__xludf.DUMMYFUNCTION("""COMPUTED_VALUE"""),13.0)</f>
        <v>13</v>
      </c>
      <c r="AB28" s="28">
        <f>IFERROR(__xludf.DUMMYFUNCTION("""COMPUTED_VALUE"""),49.0)</f>
        <v>49</v>
      </c>
      <c r="AC28" s="11"/>
      <c r="AD28" s="11"/>
      <c r="AE28" s="11"/>
      <c r="AF28" s="11"/>
      <c r="AG28" s="11"/>
      <c r="AH28" s="11"/>
      <c r="AI28" s="11"/>
      <c r="AJ28" s="68"/>
      <c r="AL28" s="66"/>
      <c r="AM28" s="11"/>
      <c r="AN28" s="11"/>
      <c r="AO28" s="14"/>
      <c r="AP28" s="15"/>
      <c r="AQ28" s="14"/>
      <c r="AR28" s="14"/>
      <c r="AS28" s="14"/>
      <c r="AT28" s="14"/>
      <c r="AU28" s="14"/>
      <c r="AV28" s="14"/>
      <c r="AW28" s="14"/>
      <c r="AX28" s="14"/>
      <c r="AY28" s="14"/>
      <c r="AZ28" s="14"/>
      <c r="BA28" s="14"/>
      <c r="BB28" s="14"/>
      <c r="BC28" s="14"/>
      <c r="BD28" s="15"/>
      <c r="BE28" s="14"/>
      <c r="BF28" s="14"/>
      <c r="BG28" s="14"/>
      <c r="BH28" s="14"/>
      <c r="BI28" s="14"/>
      <c r="BJ28" s="14"/>
      <c r="BK28" s="14"/>
      <c r="BL28" s="14"/>
    </row>
    <row r="29">
      <c r="A29" s="21" t="s">
        <v>78</v>
      </c>
      <c r="B29" s="21" t="s">
        <v>79</v>
      </c>
      <c r="C29" s="22">
        <v>45250.0</v>
      </c>
      <c r="D29" s="22" t="str">
        <f t="shared" si="1"/>
        <v>11.2023</v>
      </c>
      <c r="E29" s="22">
        <v>45262.0</v>
      </c>
      <c r="F29" s="21" t="s">
        <v>14</v>
      </c>
      <c r="G29" s="23">
        <v>1.2</v>
      </c>
      <c r="H29" s="24">
        <v>82.0</v>
      </c>
      <c r="I29" s="24">
        <v>0.0</v>
      </c>
      <c r="J29" s="24">
        <v>23.0</v>
      </c>
      <c r="K29" s="21" t="s">
        <v>15</v>
      </c>
      <c r="L29" s="21" t="s">
        <v>16</v>
      </c>
      <c r="M29" s="24">
        <v>1.0</v>
      </c>
      <c r="O29" s="11"/>
      <c r="P29" s="11"/>
      <c r="Q29" s="61" t="s">
        <v>1279</v>
      </c>
      <c r="R29" s="85"/>
      <c r="S29" s="85"/>
      <c r="T29" s="86"/>
      <c r="U29" s="11"/>
      <c r="V29" s="11"/>
      <c r="X29" s="24">
        <f>IFERROR(__xludf.DUMMYFUNCTION("""COMPUTED_VALUE"""),42.0)</f>
        <v>42</v>
      </c>
      <c r="Y29" s="24">
        <f>IFERROR(__xludf.DUMMYFUNCTION("""COMPUTED_VALUE"""),22.0)</f>
        <v>22</v>
      </c>
      <c r="Z29" s="24">
        <f>IFERROR(__xludf.DUMMYFUNCTION("""COMPUTED_VALUE"""),14.0)</f>
        <v>14</v>
      </c>
      <c r="AA29" s="28">
        <f>IFERROR(__xludf.DUMMYFUNCTION("""COMPUTED_VALUE"""),34.0)</f>
        <v>34</v>
      </c>
      <c r="AB29" s="28">
        <f>IFERROR(__xludf.DUMMYFUNCTION("""COMPUTED_VALUE"""),47.0)</f>
        <v>47</v>
      </c>
      <c r="AC29" s="11"/>
      <c r="AD29" s="11"/>
      <c r="AE29" s="11"/>
      <c r="AF29" s="11"/>
      <c r="AG29" s="11"/>
      <c r="AH29" s="11"/>
      <c r="AI29" s="11"/>
      <c r="AJ29" s="68"/>
      <c r="AL29" s="66"/>
      <c r="AM29" s="11"/>
      <c r="AN29" s="11"/>
      <c r="AO29" s="14"/>
      <c r="AP29" s="15"/>
      <c r="AQ29" s="14"/>
      <c r="AR29" s="14"/>
      <c r="AS29" s="14"/>
      <c r="AT29" s="14"/>
      <c r="AU29" s="14"/>
      <c r="AV29" s="14"/>
      <c r="AW29" s="14"/>
      <c r="AX29" s="14"/>
      <c r="AY29" s="14"/>
      <c r="AZ29" s="14"/>
      <c r="BA29" s="14"/>
      <c r="BB29" s="14"/>
      <c r="BC29" s="14"/>
      <c r="BD29" s="15"/>
      <c r="BE29" s="14"/>
      <c r="BF29" s="14"/>
      <c r="BG29" s="14"/>
      <c r="BH29" s="14"/>
      <c r="BI29" s="14"/>
      <c r="BJ29" s="14"/>
      <c r="BK29" s="14"/>
      <c r="BL29" s="14"/>
    </row>
    <row r="30">
      <c r="A30" s="21" t="s">
        <v>80</v>
      </c>
      <c r="B30" s="21" t="s">
        <v>81</v>
      </c>
      <c r="C30" s="22">
        <v>45096.0</v>
      </c>
      <c r="D30" s="22" t="str">
        <f t="shared" si="1"/>
        <v>06.2023</v>
      </c>
      <c r="E30" s="22">
        <v>45108.0</v>
      </c>
      <c r="F30" s="21" t="s">
        <v>29</v>
      </c>
      <c r="G30" s="23">
        <v>4.3</v>
      </c>
      <c r="H30" s="24">
        <v>44.0</v>
      </c>
      <c r="I30" s="24">
        <v>1.0</v>
      </c>
      <c r="J30" s="24">
        <v>49.0</v>
      </c>
      <c r="K30" s="21" t="s">
        <v>19</v>
      </c>
      <c r="L30" s="21" t="s">
        <v>16</v>
      </c>
      <c r="M30" s="24">
        <v>0.0</v>
      </c>
      <c r="O30" s="11"/>
      <c r="P30" s="11"/>
      <c r="Q30" s="65" t="s">
        <v>1280</v>
      </c>
      <c r="T30" s="66"/>
      <c r="U30" s="11"/>
      <c r="V30" s="11"/>
      <c r="X30" s="24">
        <f>IFERROR(__xludf.DUMMYFUNCTION("""COMPUTED_VALUE"""),18.0)</f>
        <v>18</v>
      </c>
      <c r="Y30" s="24">
        <f>IFERROR(__xludf.DUMMYFUNCTION("""COMPUTED_VALUE"""),38.0)</f>
        <v>38</v>
      </c>
      <c r="Z30" s="24">
        <f>IFERROR(__xludf.DUMMYFUNCTION("""COMPUTED_VALUE"""),28.0)</f>
        <v>28</v>
      </c>
      <c r="AA30" s="28">
        <f>IFERROR(__xludf.DUMMYFUNCTION("""COMPUTED_VALUE"""),20.0)</f>
        <v>20</v>
      </c>
      <c r="AB30" s="28">
        <f>IFERROR(__xludf.DUMMYFUNCTION("""COMPUTED_VALUE"""),45.0)</f>
        <v>45</v>
      </c>
      <c r="AC30" s="11"/>
      <c r="AD30" s="11"/>
      <c r="AE30" s="11"/>
      <c r="AF30" s="11"/>
      <c r="AG30" s="11"/>
      <c r="AH30" s="70"/>
      <c r="AI30" s="11"/>
      <c r="AJ30" s="68"/>
      <c r="AL30" s="66"/>
      <c r="AM30" s="87"/>
      <c r="AN30" s="87"/>
      <c r="AO30" s="87"/>
      <c r="AP30" s="15"/>
      <c r="AQ30" s="14"/>
      <c r="AR30" s="14"/>
      <c r="AS30" s="14"/>
      <c r="AT30" s="14"/>
      <c r="AU30" s="14"/>
      <c r="AV30" s="14"/>
      <c r="AW30" s="14"/>
      <c r="AX30" s="14"/>
      <c r="AY30" s="14"/>
      <c r="AZ30" s="14"/>
      <c r="BA30" s="14"/>
      <c r="BB30" s="14"/>
      <c r="BC30" s="14"/>
      <c r="BD30" s="15"/>
      <c r="BE30" s="14"/>
      <c r="BF30" s="14"/>
      <c r="BG30" s="14"/>
      <c r="BH30" s="14"/>
      <c r="BI30" s="14"/>
      <c r="BJ30" s="14"/>
      <c r="BK30" s="14"/>
      <c r="BL30" s="14"/>
    </row>
    <row r="31">
      <c r="A31" s="21" t="s">
        <v>82</v>
      </c>
      <c r="B31" s="21" t="s">
        <v>83</v>
      </c>
      <c r="C31" s="22">
        <v>45230.0</v>
      </c>
      <c r="D31" s="22" t="str">
        <f t="shared" si="1"/>
        <v>10.2023</v>
      </c>
      <c r="E31" s="22">
        <v>45242.0</v>
      </c>
      <c r="F31" s="21" t="s">
        <v>14</v>
      </c>
      <c r="G31" s="23">
        <v>2.1</v>
      </c>
      <c r="H31" s="24">
        <v>23.0</v>
      </c>
      <c r="I31" s="24">
        <v>1.0</v>
      </c>
      <c r="J31" s="24">
        <v>41.0</v>
      </c>
      <c r="K31" s="21" t="s">
        <v>32</v>
      </c>
      <c r="L31" s="21" t="s">
        <v>47</v>
      </c>
      <c r="M31" s="24">
        <v>1.0</v>
      </c>
      <c r="O31" s="11"/>
      <c r="P31" s="11"/>
      <c r="Q31" s="68"/>
      <c r="T31" s="66"/>
      <c r="U31" s="11"/>
      <c r="V31" s="11"/>
      <c r="X31" s="24">
        <f>IFERROR(__xludf.DUMMYFUNCTION("""COMPUTED_VALUE"""),32.0)</f>
        <v>32</v>
      </c>
      <c r="Y31" s="24">
        <f>IFERROR(__xludf.DUMMYFUNCTION("""COMPUTED_VALUE"""),19.0)</f>
        <v>19</v>
      </c>
      <c r="Z31" s="24">
        <f>IFERROR(__xludf.DUMMYFUNCTION("""COMPUTED_VALUE"""),34.0)</f>
        <v>34</v>
      </c>
      <c r="AA31" s="28">
        <f>IFERROR(__xludf.DUMMYFUNCTION("""COMPUTED_VALUE"""),25.0)</f>
        <v>25</v>
      </c>
      <c r="AB31" s="28">
        <f>IFERROR(__xludf.DUMMYFUNCTION("""COMPUTED_VALUE"""),23.0)</f>
        <v>23</v>
      </c>
      <c r="AC31" s="11"/>
      <c r="AD31" s="11"/>
      <c r="AE31" s="11"/>
      <c r="AF31" s="11"/>
      <c r="AG31" s="11"/>
      <c r="AH31" s="29" t="s">
        <v>1237</v>
      </c>
      <c r="AI31" s="11"/>
      <c r="AJ31" s="68"/>
      <c r="AL31" s="66"/>
      <c r="AM31" s="87"/>
      <c r="AN31" s="87"/>
      <c r="AO31" s="87"/>
      <c r="AP31" s="15"/>
      <c r="AQ31" s="14"/>
      <c r="AR31" s="14"/>
      <c r="AS31" s="14"/>
      <c r="AT31" s="14"/>
      <c r="AU31" s="14"/>
      <c r="AV31" s="14"/>
      <c r="AW31" s="14"/>
      <c r="AX31" s="14"/>
      <c r="AY31" s="14"/>
      <c r="AZ31" s="14"/>
      <c r="BA31" s="14"/>
      <c r="BB31" s="14"/>
      <c r="BC31" s="14"/>
      <c r="BD31" s="15"/>
      <c r="BE31" s="14"/>
      <c r="BF31" s="14"/>
      <c r="BG31" s="14"/>
      <c r="BH31" s="14"/>
      <c r="BI31" s="14"/>
      <c r="BJ31" s="14"/>
      <c r="BK31" s="14"/>
      <c r="BL31" s="14"/>
    </row>
    <row r="32">
      <c r="A32" s="21" t="s">
        <v>84</v>
      </c>
      <c r="B32" s="21" t="s">
        <v>85</v>
      </c>
      <c r="C32" s="22">
        <v>45139.0</v>
      </c>
      <c r="D32" s="22" t="str">
        <f t="shared" si="1"/>
        <v>08.2023</v>
      </c>
      <c r="E32" s="22">
        <v>45151.0</v>
      </c>
      <c r="F32" s="21" t="s">
        <v>29</v>
      </c>
      <c r="G32" s="23">
        <v>3.4</v>
      </c>
      <c r="H32" s="24">
        <v>4.0</v>
      </c>
      <c r="I32" s="24">
        <v>1.0</v>
      </c>
      <c r="J32" s="24">
        <v>29.0</v>
      </c>
      <c r="K32" s="21" t="s">
        <v>15</v>
      </c>
      <c r="L32" s="21" t="s">
        <v>16</v>
      </c>
      <c r="M32" s="24">
        <v>1.0</v>
      </c>
      <c r="O32" s="11"/>
      <c r="P32" s="11"/>
      <c r="Q32" s="65" t="s">
        <v>1281</v>
      </c>
      <c r="T32" s="66"/>
      <c r="U32" s="11"/>
      <c r="V32" s="11"/>
      <c r="X32" s="24">
        <f>IFERROR(__xludf.DUMMYFUNCTION("""COMPUTED_VALUE"""),26.0)</f>
        <v>26</v>
      </c>
      <c r="Y32" s="24">
        <f>IFERROR(__xludf.DUMMYFUNCTION("""COMPUTED_VALUE"""),30.0)</f>
        <v>30</v>
      </c>
      <c r="Z32" s="24">
        <f>IFERROR(__xludf.DUMMYFUNCTION("""COMPUTED_VALUE"""),24.0)</f>
        <v>24</v>
      </c>
      <c r="AA32" s="28">
        <f>IFERROR(__xludf.DUMMYFUNCTION("""COMPUTED_VALUE"""),47.0)</f>
        <v>47</v>
      </c>
      <c r="AB32" s="28">
        <f>IFERROR(__xludf.DUMMYFUNCTION("""COMPUTED_VALUE"""),56.0)</f>
        <v>56</v>
      </c>
      <c r="AC32" s="11"/>
      <c r="AD32" s="11"/>
      <c r="AE32" s="11"/>
      <c r="AF32" s="11"/>
      <c r="AG32" s="11"/>
      <c r="AH32" s="75" t="s">
        <v>1282</v>
      </c>
      <c r="AI32" s="11"/>
      <c r="AJ32" s="68"/>
      <c r="AL32" s="66"/>
      <c r="AM32" s="87"/>
      <c r="AN32" s="87"/>
      <c r="AO32" s="87"/>
      <c r="AP32" s="15"/>
      <c r="AQ32" s="14"/>
      <c r="AR32" s="14"/>
      <c r="AS32" s="14"/>
      <c r="AT32" s="14"/>
      <c r="AU32" s="14"/>
      <c r="AV32" s="14"/>
      <c r="AW32" s="14"/>
      <c r="AX32" s="14"/>
      <c r="AY32" s="14"/>
      <c r="AZ32" s="14"/>
      <c r="BA32" s="14"/>
      <c r="BB32" s="14"/>
      <c r="BC32" s="14"/>
      <c r="BD32" s="15"/>
      <c r="BE32" s="14"/>
      <c r="BF32" s="14"/>
      <c r="BG32" s="14"/>
      <c r="BH32" s="14"/>
      <c r="BI32" s="14"/>
      <c r="BJ32" s="14"/>
      <c r="BK32" s="14"/>
      <c r="BL32" s="14"/>
    </row>
    <row r="33">
      <c r="A33" s="21" t="s">
        <v>86</v>
      </c>
      <c r="B33" s="21" t="s">
        <v>87</v>
      </c>
      <c r="C33" s="22">
        <v>45015.0</v>
      </c>
      <c r="D33" s="22" t="str">
        <f t="shared" si="1"/>
        <v>03.2023</v>
      </c>
      <c r="E33" s="22">
        <v>45027.0</v>
      </c>
      <c r="F33" s="21" t="s">
        <v>22</v>
      </c>
      <c r="G33" s="23">
        <v>1.9</v>
      </c>
      <c r="H33" s="24">
        <v>59.0</v>
      </c>
      <c r="I33" s="24">
        <v>0.0</v>
      </c>
      <c r="J33" s="24">
        <v>12.0</v>
      </c>
      <c r="K33" s="21" t="s">
        <v>15</v>
      </c>
      <c r="L33" s="21" t="s">
        <v>47</v>
      </c>
      <c r="M33" s="24">
        <v>0.0</v>
      </c>
      <c r="O33" s="11"/>
      <c r="P33" s="11"/>
      <c r="Q33" s="68"/>
      <c r="T33" s="66"/>
      <c r="U33" s="11"/>
      <c r="V33" s="11"/>
      <c r="X33" s="24">
        <f>IFERROR(__xludf.DUMMYFUNCTION("""COMPUTED_VALUE"""),14.0)</f>
        <v>14</v>
      </c>
      <c r="Y33" s="24">
        <f>IFERROR(__xludf.DUMMYFUNCTION("""COMPUTED_VALUE"""),35.0)</f>
        <v>35</v>
      </c>
      <c r="Z33" s="24">
        <f>IFERROR(__xludf.DUMMYFUNCTION("""COMPUTED_VALUE"""),44.0)</f>
        <v>44</v>
      </c>
      <c r="AA33" s="28">
        <f>IFERROR(__xludf.DUMMYFUNCTION("""COMPUTED_VALUE"""),26.0)</f>
        <v>26</v>
      </c>
      <c r="AB33" s="28">
        <f>IFERROR(__xludf.DUMMYFUNCTION("""COMPUTED_VALUE"""),33.0)</f>
        <v>33</v>
      </c>
      <c r="AC33" s="11"/>
      <c r="AD33" s="11"/>
      <c r="AE33" s="11"/>
      <c r="AF33" s="11"/>
      <c r="AG33" s="11"/>
      <c r="AH33" s="46"/>
      <c r="AI33" s="11"/>
      <c r="AJ33" s="68"/>
      <c r="AL33" s="66"/>
      <c r="AM33" s="87"/>
      <c r="AN33" s="87"/>
      <c r="AO33" s="87"/>
      <c r="AP33" s="15"/>
      <c r="AQ33" s="14"/>
      <c r="AR33" s="14"/>
      <c r="AS33" s="14"/>
      <c r="AT33" s="14"/>
      <c r="AU33" s="14"/>
      <c r="AV33" s="14"/>
      <c r="AW33" s="14"/>
      <c r="AX33" s="14"/>
      <c r="AY33" s="14"/>
      <c r="AZ33" s="14"/>
      <c r="BA33" s="14"/>
      <c r="BB33" s="14"/>
      <c r="BC33" s="14"/>
      <c r="BD33" s="15"/>
      <c r="BE33" s="14"/>
      <c r="BF33" s="14"/>
      <c r="BG33" s="14"/>
      <c r="BH33" s="14"/>
      <c r="BI33" s="14"/>
      <c r="BJ33" s="14"/>
      <c r="BK33" s="14"/>
      <c r="BL33" s="14"/>
    </row>
    <row r="34" ht="17.25" customHeight="1">
      <c r="A34" s="21" t="s">
        <v>88</v>
      </c>
      <c r="B34" s="21" t="s">
        <v>89</v>
      </c>
      <c r="C34" s="22">
        <v>45152.0</v>
      </c>
      <c r="D34" s="22" t="str">
        <f t="shared" si="1"/>
        <v>08.2023</v>
      </c>
      <c r="E34" s="22">
        <v>45164.0</v>
      </c>
      <c r="F34" s="21" t="s">
        <v>14</v>
      </c>
      <c r="G34" s="23">
        <v>2.3</v>
      </c>
      <c r="H34" s="24">
        <v>77.0</v>
      </c>
      <c r="I34" s="24">
        <v>1.0</v>
      </c>
      <c r="J34" s="24">
        <v>24.0</v>
      </c>
      <c r="K34" s="21" t="s">
        <v>35</v>
      </c>
      <c r="L34" s="21" t="s">
        <v>47</v>
      </c>
      <c r="M34" s="24">
        <v>1.0</v>
      </c>
      <c r="O34" s="11"/>
      <c r="P34" s="11"/>
      <c r="Q34" s="68"/>
      <c r="T34" s="66"/>
      <c r="U34" s="11"/>
      <c r="V34" s="11"/>
      <c r="X34" s="24">
        <f>IFERROR(__xludf.DUMMYFUNCTION("""COMPUTED_VALUE"""),19.0)</f>
        <v>19</v>
      </c>
      <c r="Y34" s="24">
        <f>IFERROR(__xludf.DUMMYFUNCTION("""COMPUTED_VALUE"""),24.0)</f>
        <v>24</v>
      </c>
      <c r="Z34" s="24">
        <f>IFERROR(__xludf.DUMMYFUNCTION("""COMPUTED_VALUE"""),36.0)</f>
        <v>36</v>
      </c>
      <c r="AA34" s="28">
        <f>IFERROR(__xludf.DUMMYFUNCTION("""COMPUTED_VALUE"""),35.0)</f>
        <v>35</v>
      </c>
      <c r="AB34" s="28">
        <f>IFERROR(__xludf.DUMMYFUNCTION("""COMPUTED_VALUE"""),53.0)</f>
        <v>53</v>
      </c>
      <c r="AC34" s="11"/>
      <c r="AD34" s="11"/>
      <c r="AE34" s="11"/>
      <c r="AF34" s="11"/>
      <c r="AG34" s="11"/>
      <c r="AH34" s="46"/>
      <c r="AI34" s="11"/>
      <c r="AJ34" s="72"/>
      <c r="AK34" s="73"/>
      <c r="AL34" s="74"/>
      <c r="AM34" s="87"/>
      <c r="AN34" s="87"/>
      <c r="AO34" s="87"/>
      <c r="AP34" s="15"/>
      <c r="AQ34" s="14"/>
      <c r="AR34" s="14"/>
      <c r="AS34" s="14"/>
      <c r="AT34" s="14"/>
      <c r="AU34" s="14"/>
      <c r="AV34" s="14"/>
      <c r="AW34" s="14"/>
      <c r="AX34" s="14"/>
      <c r="AY34" s="14"/>
      <c r="AZ34" s="14"/>
      <c r="BA34" s="14"/>
      <c r="BB34" s="14"/>
      <c r="BC34" s="14"/>
      <c r="BD34" s="15"/>
      <c r="BE34" s="14"/>
      <c r="BF34" s="14"/>
      <c r="BG34" s="14"/>
      <c r="BH34" s="14"/>
      <c r="BI34" s="14"/>
      <c r="BJ34" s="14"/>
      <c r="BK34" s="14"/>
      <c r="BL34" s="14"/>
    </row>
    <row r="35" ht="14.25" customHeight="1">
      <c r="A35" s="21" t="s">
        <v>90</v>
      </c>
      <c r="B35" s="21" t="s">
        <v>91</v>
      </c>
      <c r="C35" s="22">
        <v>45241.0</v>
      </c>
      <c r="D35" s="22" t="str">
        <f t="shared" si="1"/>
        <v>11.2023</v>
      </c>
      <c r="E35" s="22">
        <v>45253.0</v>
      </c>
      <c r="F35" s="21" t="s">
        <v>38</v>
      </c>
      <c r="G35" s="23">
        <v>0.4</v>
      </c>
      <c r="H35" s="24">
        <v>17.0</v>
      </c>
      <c r="I35" s="24">
        <v>0.0</v>
      </c>
      <c r="J35" s="24">
        <v>22.0</v>
      </c>
      <c r="K35" s="21" t="s">
        <v>23</v>
      </c>
      <c r="L35" s="21" t="s">
        <v>16</v>
      </c>
      <c r="M35" s="24">
        <v>0.0</v>
      </c>
      <c r="O35" s="11"/>
      <c r="P35" s="11"/>
      <c r="Q35" s="65" t="s">
        <v>1283</v>
      </c>
      <c r="T35" s="66"/>
      <c r="U35" s="11"/>
      <c r="V35" s="11"/>
      <c r="X35" s="24">
        <f>IFERROR(__xludf.DUMMYFUNCTION("""COMPUTED_VALUE"""),13.0)</f>
        <v>13</v>
      </c>
      <c r="Y35" s="24">
        <f>IFERROR(__xludf.DUMMYFUNCTION("""COMPUTED_VALUE"""),14.0)</f>
        <v>14</v>
      </c>
      <c r="Z35" s="24">
        <f>IFERROR(__xludf.DUMMYFUNCTION("""COMPUTED_VALUE"""),16.0)</f>
        <v>16</v>
      </c>
      <c r="AA35" s="28">
        <f>IFERROR(__xludf.DUMMYFUNCTION("""COMPUTED_VALUE"""),38.0)</f>
        <v>38</v>
      </c>
      <c r="AB35" s="28">
        <f>IFERROR(__xludf.DUMMYFUNCTION("""COMPUTED_VALUE"""),42.0)</f>
        <v>42</v>
      </c>
      <c r="AC35" s="11"/>
      <c r="AD35" s="11"/>
      <c r="AE35" s="11"/>
      <c r="AF35" s="11"/>
      <c r="AG35" s="11"/>
      <c r="AH35" s="46"/>
      <c r="AI35" s="11"/>
      <c r="AJ35" s="11"/>
      <c r="AK35" s="11"/>
      <c r="AL35" s="11"/>
      <c r="AM35" s="87"/>
      <c r="AN35" s="87"/>
      <c r="AO35" s="87"/>
      <c r="AP35" s="15"/>
      <c r="AQ35" s="14"/>
      <c r="AR35" s="14"/>
      <c r="AS35" s="14"/>
      <c r="AT35" s="14"/>
      <c r="AU35" s="14"/>
      <c r="AV35" s="14"/>
      <c r="AW35" s="14"/>
      <c r="AX35" s="14"/>
      <c r="AY35" s="14"/>
      <c r="AZ35" s="14"/>
      <c r="BA35" s="14"/>
      <c r="BB35" s="14"/>
      <c r="BC35" s="14"/>
      <c r="BD35" s="15"/>
      <c r="BE35" s="14"/>
      <c r="BF35" s="14"/>
      <c r="BG35" s="14"/>
      <c r="BH35" s="14"/>
      <c r="BI35" s="14"/>
      <c r="BJ35" s="14"/>
      <c r="BK35" s="14"/>
      <c r="BL35" s="14"/>
    </row>
    <row r="36">
      <c r="A36" s="21" t="s">
        <v>92</v>
      </c>
      <c r="B36" s="21" t="s">
        <v>93</v>
      </c>
      <c r="C36" s="22">
        <v>45140.0</v>
      </c>
      <c r="D36" s="22" t="str">
        <f t="shared" si="1"/>
        <v>08.2023</v>
      </c>
      <c r="E36" s="22">
        <v>45152.0</v>
      </c>
      <c r="F36" s="21" t="s">
        <v>29</v>
      </c>
      <c r="G36" s="23">
        <v>4.2</v>
      </c>
      <c r="H36" s="24">
        <v>91.0</v>
      </c>
      <c r="I36" s="24">
        <v>1.0</v>
      </c>
      <c r="J36" s="24">
        <v>27.0</v>
      </c>
      <c r="K36" s="21" t="s">
        <v>19</v>
      </c>
      <c r="L36" s="21" t="s">
        <v>26</v>
      </c>
      <c r="M36" s="24">
        <v>1.0</v>
      </c>
      <c r="O36" s="11"/>
      <c r="P36" s="71"/>
      <c r="Q36" s="68"/>
      <c r="T36" s="66"/>
      <c r="U36" s="11"/>
      <c r="V36" s="11"/>
      <c r="X36" s="24">
        <f>IFERROR(__xludf.DUMMYFUNCTION("""COMPUTED_VALUE"""),28.0)</f>
        <v>28</v>
      </c>
      <c r="Y36" s="24">
        <f>IFERROR(__xludf.DUMMYFUNCTION("""COMPUTED_VALUE"""),27.0)</f>
        <v>27</v>
      </c>
      <c r="Z36" s="24">
        <f>IFERROR(__xludf.DUMMYFUNCTION("""COMPUTED_VALUE"""),17.0)</f>
        <v>17</v>
      </c>
      <c r="AA36" s="28">
        <f>IFERROR(__xludf.DUMMYFUNCTION("""COMPUTED_VALUE"""),54.0)</f>
        <v>54</v>
      </c>
      <c r="AB36" s="28">
        <f>IFERROR(__xludf.DUMMYFUNCTION("""COMPUTED_VALUE"""),37.0)</f>
        <v>37</v>
      </c>
      <c r="AC36" s="11"/>
      <c r="AD36" s="11"/>
      <c r="AE36" s="11"/>
      <c r="AF36" s="11"/>
      <c r="AG36" s="11"/>
      <c r="AH36" s="46"/>
      <c r="AI36" s="11"/>
      <c r="AJ36" s="11"/>
      <c r="AK36" s="11"/>
      <c r="AL36" s="11"/>
      <c r="AM36" s="87"/>
      <c r="AN36" s="87"/>
      <c r="AO36" s="87"/>
      <c r="AP36" s="15"/>
      <c r="AQ36" s="14"/>
      <c r="AR36" s="14"/>
      <c r="AS36" s="14"/>
      <c r="AT36" s="14"/>
      <c r="AU36" s="14"/>
      <c r="AV36" s="14"/>
      <c r="AW36" s="14"/>
      <c r="AX36" s="14"/>
      <c r="AY36" s="14"/>
      <c r="AZ36" s="14"/>
      <c r="BA36" s="14"/>
      <c r="BB36" s="14"/>
      <c r="BC36" s="14"/>
      <c r="BD36" s="15"/>
      <c r="BE36" s="14"/>
      <c r="BF36" s="14"/>
      <c r="BG36" s="14"/>
      <c r="BH36" s="14"/>
      <c r="BI36" s="14"/>
      <c r="BJ36" s="14"/>
      <c r="BK36" s="14"/>
      <c r="BL36" s="14"/>
    </row>
    <row r="37">
      <c r="A37" s="21" t="s">
        <v>94</v>
      </c>
      <c r="B37" s="21" t="s">
        <v>95</v>
      </c>
      <c r="C37" s="22">
        <v>45219.0</v>
      </c>
      <c r="D37" s="22" t="str">
        <f t="shared" si="1"/>
        <v>10.2023</v>
      </c>
      <c r="E37" s="22">
        <v>45231.0</v>
      </c>
      <c r="F37" s="21" t="s">
        <v>29</v>
      </c>
      <c r="G37" s="23">
        <v>0.7</v>
      </c>
      <c r="H37" s="24">
        <v>7.0</v>
      </c>
      <c r="I37" s="24">
        <v>0.0</v>
      </c>
      <c r="J37" s="24">
        <v>52.0</v>
      </c>
      <c r="K37" s="21" t="s">
        <v>32</v>
      </c>
      <c r="L37" s="21" t="s">
        <v>26</v>
      </c>
      <c r="M37" s="24">
        <v>1.0</v>
      </c>
      <c r="O37" s="11"/>
      <c r="P37" s="10"/>
      <c r="Q37" s="72"/>
      <c r="R37" s="73"/>
      <c r="S37" s="73"/>
      <c r="T37" s="74"/>
      <c r="U37" s="11"/>
      <c r="V37" s="11"/>
      <c r="X37" s="24">
        <f>IFERROR(__xludf.DUMMYFUNCTION("""COMPUTED_VALUE"""),46.0)</f>
        <v>46</v>
      </c>
      <c r="Y37" s="24">
        <f>IFERROR(__xludf.DUMMYFUNCTION("""COMPUTED_VALUE"""),23.0)</f>
        <v>23</v>
      </c>
      <c r="Z37" s="24">
        <f>IFERROR(__xludf.DUMMYFUNCTION("""COMPUTED_VALUE"""),42.0)</f>
        <v>42</v>
      </c>
      <c r="AA37" s="28">
        <f>IFERROR(__xludf.DUMMYFUNCTION("""COMPUTED_VALUE"""),52.0)</f>
        <v>52</v>
      </c>
      <c r="AB37" s="28">
        <f>IFERROR(__xludf.DUMMYFUNCTION("""COMPUTED_VALUE"""),17.0)</f>
        <v>17</v>
      </c>
      <c r="AC37" s="11"/>
      <c r="AD37" s="11"/>
      <c r="AE37" s="11"/>
      <c r="AF37" s="11"/>
      <c r="AG37" s="11"/>
      <c r="AH37" s="46"/>
      <c r="AI37" s="11"/>
      <c r="AJ37" s="11"/>
      <c r="AK37" s="11"/>
      <c r="AL37" s="11"/>
      <c r="AM37" s="11"/>
      <c r="AN37" s="11"/>
      <c r="AO37" s="14"/>
      <c r="AP37" s="15"/>
      <c r="AQ37" s="15"/>
      <c r="AR37" s="15"/>
      <c r="AS37" s="15"/>
      <c r="AT37" s="15"/>
      <c r="AU37" s="15"/>
      <c r="AV37" s="15"/>
      <c r="AW37" s="15"/>
      <c r="AX37" s="15"/>
      <c r="AY37" s="15"/>
      <c r="AZ37" s="15"/>
      <c r="BA37" s="15"/>
      <c r="BB37" s="15"/>
      <c r="BC37" s="15"/>
      <c r="BD37" s="15"/>
      <c r="BE37" s="14"/>
      <c r="BF37" s="14"/>
      <c r="BG37" s="14"/>
      <c r="BH37" s="14"/>
      <c r="BI37" s="14"/>
      <c r="BJ37" s="14"/>
      <c r="BK37" s="14"/>
      <c r="BL37" s="14"/>
    </row>
    <row r="38">
      <c r="A38" s="21" t="s">
        <v>96</v>
      </c>
      <c r="B38" s="21" t="s">
        <v>97</v>
      </c>
      <c r="C38" s="22">
        <v>45163.0</v>
      </c>
      <c r="D38" s="22" t="str">
        <f t="shared" si="1"/>
        <v>08.2023</v>
      </c>
      <c r="E38" s="22">
        <v>45175.0</v>
      </c>
      <c r="F38" s="21" t="s">
        <v>22</v>
      </c>
      <c r="G38" s="23">
        <v>1.5</v>
      </c>
      <c r="H38" s="24">
        <v>50.0</v>
      </c>
      <c r="I38" s="24">
        <v>1.0</v>
      </c>
      <c r="J38" s="24">
        <v>18.0</v>
      </c>
      <c r="K38" s="21" t="s">
        <v>32</v>
      </c>
      <c r="L38" s="21" t="s">
        <v>47</v>
      </c>
      <c r="M38" s="24">
        <v>0.0</v>
      </c>
      <c r="O38" s="11"/>
      <c r="P38" s="10"/>
      <c r="Q38" s="10"/>
      <c r="R38" s="10"/>
      <c r="S38" s="10"/>
      <c r="T38" s="11"/>
      <c r="U38" s="11"/>
      <c r="V38" s="11"/>
      <c r="X38" s="24">
        <f>IFERROR(__xludf.DUMMYFUNCTION("""COMPUTED_VALUE"""),55.0)</f>
        <v>55</v>
      </c>
      <c r="Y38" s="24">
        <f>IFERROR(__xludf.DUMMYFUNCTION("""COMPUTED_VALUE"""),49.0)</f>
        <v>49</v>
      </c>
      <c r="Z38" s="24">
        <f>IFERROR(__xludf.DUMMYFUNCTION("""COMPUTED_VALUE"""),45.0)</f>
        <v>45</v>
      </c>
      <c r="AA38" s="28">
        <f>IFERROR(__xludf.DUMMYFUNCTION("""COMPUTED_VALUE"""),43.0)</f>
        <v>43</v>
      </c>
      <c r="AB38" s="28">
        <f>IFERROR(__xludf.DUMMYFUNCTION("""COMPUTED_VALUE"""),50.0)</f>
        <v>50</v>
      </c>
      <c r="AC38" s="11"/>
      <c r="AD38" s="11"/>
      <c r="AE38" s="11"/>
      <c r="AF38" s="11"/>
      <c r="AG38" s="11"/>
      <c r="AH38" s="46"/>
      <c r="AI38" s="11"/>
      <c r="AJ38" s="11"/>
      <c r="AK38" s="11"/>
      <c r="AL38" s="11"/>
      <c r="AM38" s="11"/>
      <c r="AN38" s="11"/>
      <c r="AO38" s="14"/>
      <c r="AP38" s="15"/>
      <c r="AQ38" s="15"/>
      <c r="AR38" s="15"/>
      <c r="AS38" s="15"/>
      <c r="AT38" s="15"/>
      <c r="AU38" s="15"/>
      <c r="AV38" s="15"/>
      <c r="AW38" s="15"/>
      <c r="AX38" s="15"/>
      <c r="AY38" s="15"/>
      <c r="AZ38" s="15"/>
      <c r="BA38" s="15"/>
      <c r="BB38" s="15"/>
      <c r="BC38" s="15"/>
      <c r="BD38" s="15"/>
      <c r="BE38" s="14"/>
      <c r="BF38" s="14"/>
      <c r="BG38" s="14"/>
      <c r="BH38" s="14"/>
      <c r="BI38" s="14"/>
      <c r="BJ38" s="14"/>
      <c r="BK38" s="14"/>
      <c r="BL38" s="14"/>
    </row>
    <row r="39">
      <c r="A39" s="21" t="s">
        <v>98</v>
      </c>
      <c r="B39" s="21" t="s">
        <v>99</v>
      </c>
      <c r="C39" s="22">
        <v>45195.0</v>
      </c>
      <c r="D39" s="22" t="str">
        <f t="shared" si="1"/>
        <v>09.2023</v>
      </c>
      <c r="E39" s="22">
        <v>45207.0</v>
      </c>
      <c r="F39" s="21" t="s">
        <v>22</v>
      </c>
      <c r="G39" s="23">
        <v>4.8</v>
      </c>
      <c r="H39" s="24">
        <v>10.0</v>
      </c>
      <c r="I39" s="24">
        <v>1.0</v>
      </c>
      <c r="J39" s="24">
        <v>54.0</v>
      </c>
      <c r="K39" s="21" t="s">
        <v>23</v>
      </c>
      <c r="L39" s="21" t="s">
        <v>16</v>
      </c>
      <c r="M39" s="24">
        <v>1.0</v>
      </c>
      <c r="P39" s="9"/>
      <c r="Q39" s="9"/>
      <c r="R39" s="9"/>
      <c r="S39" s="9"/>
      <c r="T39" s="9"/>
      <c r="X39" s="24">
        <f>IFERROR(__xludf.DUMMYFUNCTION("""COMPUTED_VALUE"""),23.0)</f>
        <v>23</v>
      </c>
      <c r="Y39" s="24">
        <f>IFERROR(__xludf.DUMMYFUNCTION("""COMPUTED_VALUE"""),40.0)</f>
        <v>40</v>
      </c>
      <c r="Z39" s="24">
        <f>IFERROR(__xludf.DUMMYFUNCTION("""COMPUTED_VALUE"""),25.0)</f>
        <v>25</v>
      </c>
      <c r="AA39" s="28">
        <f>IFERROR(__xludf.DUMMYFUNCTION("""COMPUTED_VALUE"""),26.0)</f>
        <v>26</v>
      </c>
      <c r="AB39" s="28">
        <f>IFERROR(__xludf.DUMMYFUNCTION("""COMPUTED_VALUE"""),48.0)</f>
        <v>48</v>
      </c>
      <c r="AC39" s="11"/>
      <c r="AD39" s="11"/>
      <c r="AE39" s="11"/>
      <c r="AF39" s="11"/>
      <c r="AG39" s="11"/>
      <c r="AH39" s="60"/>
      <c r="AI39" s="11"/>
      <c r="AJ39" s="11"/>
      <c r="AK39" s="11"/>
      <c r="AL39" s="11"/>
      <c r="AM39" s="11"/>
      <c r="AN39" s="11"/>
      <c r="AO39" s="14"/>
      <c r="AP39" s="15"/>
      <c r="AQ39" s="15"/>
      <c r="AR39" s="15"/>
      <c r="AS39" s="15"/>
      <c r="AT39" s="15"/>
      <c r="AU39" s="15"/>
      <c r="AV39" s="15"/>
      <c r="AW39" s="15"/>
      <c r="AX39" s="15"/>
      <c r="AY39" s="15"/>
      <c r="AZ39" s="15"/>
      <c r="BA39" s="15"/>
      <c r="BB39" s="15"/>
      <c r="BC39" s="15"/>
      <c r="BD39" s="15"/>
      <c r="BE39" s="14"/>
      <c r="BF39" s="14"/>
      <c r="BG39" s="14"/>
      <c r="BH39" s="14"/>
      <c r="BI39" s="14"/>
      <c r="BJ39" s="14"/>
      <c r="BK39" s="14"/>
      <c r="BL39" s="14"/>
    </row>
    <row r="40">
      <c r="A40" s="21" t="s">
        <v>100</v>
      </c>
      <c r="B40" s="21" t="s">
        <v>101</v>
      </c>
      <c r="C40" s="22">
        <v>44953.0</v>
      </c>
      <c r="D40" s="22" t="str">
        <f t="shared" si="1"/>
        <v>01.2023</v>
      </c>
      <c r="E40" s="22">
        <v>44965.0</v>
      </c>
      <c r="F40" s="21" t="s">
        <v>14</v>
      </c>
      <c r="G40" s="23">
        <v>1.1</v>
      </c>
      <c r="H40" s="24">
        <v>24.0</v>
      </c>
      <c r="I40" s="24">
        <v>0.0</v>
      </c>
      <c r="J40" s="24">
        <v>32.0</v>
      </c>
      <c r="K40" s="21" t="s">
        <v>32</v>
      </c>
      <c r="L40" s="21" t="s">
        <v>16</v>
      </c>
      <c r="M40" s="24">
        <v>1.0</v>
      </c>
      <c r="P40" s="9"/>
      <c r="Q40" s="9"/>
      <c r="R40" s="9"/>
      <c r="S40" s="9"/>
      <c r="T40" s="9"/>
      <c r="X40" s="24">
        <f>IFERROR(__xludf.DUMMYFUNCTION("""COMPUTED_VALUE"""),54.0)</f>
        <v>54</v>
      </c>
      <c r="Y40" s="24">
        <f>IFERROR(__xludf.DUMMYFUNCTION("""COMPUTED_VALUE"""),43.0)</f>
        <v>43</v>
      </c>
      <c r="Z40" s="24">
        <f>IFERROR(__xludf.DUMMYFUNCTION("""COMPUTED_VALUE"""),28.0)</f>
        <v>28</v>
      </c>
      <c r="AA40" s="28">
        <f>IFERROR(__xludf.DUMMYFUNCTION("""COMPUTED_VALUE"""),32.0)</f>
        <v>32</v>
      </c>
      <c r="AB40" s="28">
        <f>IFERROR(__xludf.DUMMYFUNCTION("""COMPUTED_VALUE"""),36.0)</f>
        <v>36</v>
      </c>
      <c r="AC40" s="11"/>
      <c r="AD40" s="11"/>
      <c r="AE40" s="11"/>
      <c r="AF40" s="11"/>
      <c r="AG40" s="11"/>
      <c r="AH40" s="11"/>
      <c r="AI40" s="11"/>
      <c r="AJ40" s="11"/>
      <c r="AK40" s="11"/>
      <c r="AL40" s="11"/>
      <c r="AM40" s="11"/>
      <c r="AN40" s="11"/>
      <c r="AO40" s="14"/>
      <c r="AP40" s="15"/>
      <c r="AQ40" s="15"/>
      <c r="AR40" s="15"/>
      <c r="AS40" s="15"/>
      <c r="AT40" s="15"/>
      <c r="AU40" s="15"/>
      <c r="AV40" s="15"/>
      <c r="AW40" s="15"/>
      <c r="AX40" s="15"/>
      <c r="AY40" s="15"/>
      <c r="AZ40" s="15"/>
      <c r="BA40" s="15"/>
      <c r="BB40" s="15"/>
      <c r="BC40" s="15"/>
      <c r="BD40" s="15"/>
      <c r="BE40" s="14"/>
      <c r="BF40" s="14"/>
      <c r="BG40" s="14"/>
      <c r="BH40" s="14"/>
      <c r="BI40" s="14"/>
      <c r="BJ40" s="14"/>
      <c r="BK40" s="14"/>
      <c r="BL40" s="14"/>
    </row>
    <row r="41">
      <c r="A41" s="21" t="s">
        <v>102</v>
      </c>
      <c r="B41" s="21" t="s">
        <v>103</v>
      </c>
      <c r="C41" s="22">
        <v>44929.0</v>
      </c>
      <c r="D41" s="22" t="str">
        <f t="shared" si="1"/>
        <v>01.2023</v>
      </c>
      <c r="E41" s="22">
        <v>44941.0</v>
      </c>
      <c r="F41" s="21" t="s">
        <v>38</v>
      </c>
      <c r="G41" s="23">
        <v>0.9</v>
      </c>
      <c r="H41" s="24">
        <v>1.0</v>
      </c>
      <c r="I41" s="24">
        <v>0.0</v>
      </c>
      <c r="J41" s="24">
        <v>38.0</v>
      </c>
      <c r="K41" s="21" t="s">
        <v>35</v>
      </c>
      <c r="L41" s="21" t="s">
        <v>26</v>
      </c>
      <c r="M41" s="24">
        <v>0.0</v>
      </c>
      <c r="P41" s="9"/>
      <c r="Q41" s="9"/>
      <c r="R41" s="9"/>
      <c r="S41" s="9"/>
      <c r="T41" s="9"/>
      <c r="X41" s="24">
        <f>IFERROR(__xludf.DUMMYFUNCTION("""COMPUTED_VALUE"""),41.0)</f>
        <v>41</v>
      </c>
      <c r="Y41" s="24">
        <f>IFERROR(__xludf.DUMMYFUNCTION("""COMPUTED_VALUE"""),52.0)</f>
        <v>52</v>
      </c>
      <c r="Z41" s="24">
        <f>IFERROR(__xludf.DUMMYFUNCTION("""COMPUTED_VALUE"""),17.0)</f>
        <v>17</v>
      </c>
      <c r="AA41" s="28">
        <f>IFERROR(__xludf.DUMMYFUNCTION("""COMPUTED_VALUE"""),37.0)</f>
        <v>37</v>
      </c>
      <c r="AB41" s="28">
        <f>IFERROR(__xludf.DUMMYFUNCTION("""COMPUTED_VALUE"""),16.0)</f>
        <v>16</v>
      </c>
      <c r="AC41" s="11"/>
      <c r="AD41" s="11"/>
      <c r="AE41" s="11"/>
      <c r="AF41" s="11"/>
      <c r="AG41" s="11"/>
      <c r="AH41" s="11"/>
      <c r="AI41" s="11"/>
      <c r="AJ41" s="11"/>
      <c r="AK41" s="11"/>
      <c r="AL41" s="11"/>
      <c r="AM41" s="11"/>
      <c r="AN41" s="11"/>
      <c r="AO41" s="14"/>
      <c r="AP41" s="15"/>
      <c r="AQ41" s="15"/>
      <c r="AR41" s="15"/>
      <c r="AS41" s="15"/>
      <c r="AT41" s="15"/>
      <c r="AU41" s="15"/>
      <c r="AV41" s="15"/>
      <c r="AW41" s="15"/>
      <c r="AX41" s="15"/>
      <c r="AY41" s="15"/>
      <c r="AZ41" s="15"/>
      <c r="BA41" s="15"/>
      <c r="BB41" s="15"/>
      <c r="BC41" s="15"/>
      <c r="BD41" s="15"/>
      <c r="BE41" s="15"/>
      <c r="BF41" s="15"/>
      <c r="BG41" s="15"/>
      <c r="BH41" s="15"/>
      <c r="BI41" s="15"/>
      <c r="BJ41" s="15"/>
      <c r="BK41" s="15"/>
      <c r="BL41" s="15"/>
    </row>
    <row r="42">
      <c r="A42" s="21" t="s">
        <v>104</v>
      </c>
      <c r="B42" s="21" t="s">
        <v>105</v>
      </c>
      <c r="C42" s="22">
        <v>45177.0</v>
      </c>
      <c r="D42" s="22" t="str">
        <f t="shared" si="1"/>
        <v>09.2023</v>
      </c>
      <c r="E42" s="22">
        <v>45189.0</v>
      </c>
      <c r="F42" s="21" t="s">
        <v>29</v>
      </c>
      <c r="G42" s="23">
        <v>2.5</v>
      </c>
      <c r="H42" s="24">
        <v>68.0</v>
      </c>
      <c r="I42" s="24">
        <v>1.0</v>
      </c>
      <c r="J42" s="24">
        <v>20.0</v>
      </c>
      <c r="K42" s="21" t="s">
        <v>23</v>
      </c>
      <c r="L42" s="21" t="s">
        <v>26</v>
      </c>
      <c r="M42" s="24">
        <v>1.0</v>
      </c>
      <c r="P42" s="9"/>
      <c r="Q42" s="9"/>
      <c r="R42" s="9"/>
      <c r="S42" s="9"/>
      <c r="T42" s="9"/>
      <c r="X42" s="24">
        <f>IFERROR(__xludf.DUMMYFUNCTION("""COMPUTED_VALUE"""),48.0)</f>
        <v>48</v>
      </c>
      <c r="Y42" s="24">
        <f>IFERROR(__xludf.DUMMYFUNCTION("""COMPUTED_VALUE"""),53.0)</f>
        <v>53</v>
      </c>
      <c r="Z42" s="24">
        <f>IFERROR(__xludf.DUMMYFUNCTION("""COMPUTED_VALUE"""),32.0)</f>
        <v>32</v>
      </c>
      <c r="AA42" s="28">
        <f>IFERROR(__xludf.DUMMYFUNCTION("""COMPUTED_VALUE"""),39.0)</f>
        <v>39</v>
      </c>
      <c r="AB42" s="28">
        <f>IFERROR(__xludf.DUMMYFUNCTION("""COMPUTED_VALUE"""),38.0)</f>
        <v>38</v>
      </c>
      <c r="AC42" s="11"/>
      <c r="AD42" s="11"/>
      <c r="AE42" s="11"/>
      <c r="AF42" s="11"/>
      <c r="AG42" s="11"/>
      <c r="AH42" s="11"/>
      <c r="AI42" s="11"/>
      <c r="AJ42" s="11"/>
      <c r="AK42" s="11"/>
      <c r="AL42" s="11"/>
      <c r="AM42" s="11"/>
      <c r="AN42" s="11"/>
      <c r="AO42" s="14"/>
      <c r="AP42" s="15"/>
      <c r="AQ42" s="15"/>
      <c r="AR42" s="15"/>
      <c r="AS42" s="15"/>
      <c r="AT42" s="15"/>
      <c r="AU42" s="15"/>
      <c r="AV42" s="15"/>
      <c r="AW42" s="15"/>
      <c r="AX42" s="15"/>
      <c r="AY42" s="15"/>
      <c r="AZ42" s="15"/>
      <c r="BA42" s="15"/>
      <c r="BB42" s="15"/>
      <c r="BC42" s="15"/>
      <c r="BD42" s="15"/>
      <c r="BE42" s="15"/>
      <c r="BF42" s="15"/>
      <c r="BG42" s="15"/>
      <c r="BH42" s="15"/>
      <c r="BI42" s="15"/>
      <c r="BJ42" s="15"/>
      <c r="BK42" s="15"/>
      <c r="BL42" s="15"/>
    </row>
    <row r="43">
      <c r="A43" s="21" t="s">
        <v>106</v>
      </c>
      <c r="B43" s="21" t="s">
        <v>107</v>
      </c>
      <c r="C43" s="22">
        <v>45205.0</v>
      </c>
      <c r="D43" s="22" t="str">
        <f t="shared" si="1"/>
        <v>10.2023</v>
      </c>
      <c r="E43" s="22">
        <v>45217.0</v>
      </c>
      <c r="F43" s="21" t="s">
        <v>14</v>
      </c>
      <c r="G43" s="23">
        <v>1.6</v>
      </c>
      <c r="H43" s="24">
        <v>41.0</v>
      </c>
      <c r="I43" s="24">
        <v>0.0</v>
      </c>
      <c r="J43" s="24">
        <v>47.0</v>
      </c>
      <c r="K43" s="21" t="s">
        <v>32</v>
      </c>
      <c r="L43" s="21" t="s">
        <v>26</v>
      </c>
      <c r="M43" s="24">
        <v>1.0</v>
      </c>
      <c r="P43" s="9"/>
      <c r="Q43" s="9"/>
      <c r="R43" s="9"/>
      <c r="S43" s="9"/>
      <c r="T43" s="9"/>
      <c r="X43" s="24">
        <f>IFERROR(__xludf.DUMMYFUNCTION("""COMPUTED_VALUE"""),17.0)</f>
        <v>17</v>
      </c>
      <c r="Y43" s="24">
        <f>IFERROR(__xludf.DUMMYFUNCTION("""COMPUTED_VALUE"""),12.0)</f>
        <v>12</v>
      </c>
      <c r="Z43" s="24">
        <f>IFERROR(__xludf.DUMMYFUNCTION("""COMPUTED_VALUE"""),26.0)</f>
        <v>26</v>
      </c>
      <c r="AA43" s="28">
        <f>IFERROR(__xludf.DUMMYFUNCTION("""COMPUTED_VALUE"""),20.0)</f>
        <v>20</v>
      </c>
      <c r="AB43" s="28">
        <f>IFERROR(__xludf.DUMMYFUNCTION("""COMPUTED_VALUE"""),53.0)</f>
        <v>53</v>
      </c>
      <c r="AC43" s="11"/>
      <c r="AD43" s="11"/>
      <c r="AE43" s="11"/>
      <c r="AF43" s="11"/>
      <c r="AG43" s="11"/>
      <c r="AH43" s="11"/>
      <c r="AI43" s="11"/>
      <c r="AJ43" s="11"/>
      <c r="AK43" s="11"/>
      <c r="AL43" s="11"/>
      <c r="AM43" s="11"/>
      <c r="AN43" s="11"/>
      <c r="AO43" s="14"/>
      <c r="AP43" s="15"/>
      <c r="AQ43" s="15"/>
      <c r="AR43" s="15"/>
      <c r="AS43" s="15"/>
      <c r="AT43" s="15"/>
      <c r="AU43" s="15"/>
      <c r="AV43" s="15"/>
      <c r="AW43" s="15"/>
      <c r="AX43" s="15"/>
      <c r="AY43" s="15"/>
      <c r="AZ43" s="15"/>
      <c r="BA43" s="15"/>
      <c r="BB43" s="15"/>
      <c r="BC43" s="15"/>
      <c r="BD43" s="15"/>
      <c r="BE43" s="15"/>
      <c r="BF43" s="15"/>
      <c r="BG43" s="15"/>
      <c r="BH43" s="15"/>
      <c r="BI43" s="15"/>
      <c r="BJ43" s="15"/>
      <c r="BK43" s="15"/>
      <c r="BL43" s="15"/>
    </row>
    <row r="44">
      <c r="A44" s="21" t="s">
        <v>108</v>
      </c>
      <c r="B44" s="21" t="s">
        <v>109</v>
      </c>
      <c r="C44" s="22">
        <v>44973.0</v>
      </c>
      <c r="D44" s="22" t="str">
        <f t="shared" si="1"/>
        <v>02.2023</v>
      </c>
      <c r="E44" s="22">
        <v>44985.0</v>
      </c>
      <c r="F44" s="21" t="s">
        <v>38</v>
      </c>
      <c r="G44" s="23">
        <v>3.9</v>
      </c>
      <c r="H44" s="24">
        <v>87.0</v>
      </c>
      <c r="I44" s="24">
        <v>0.0</v>
      </c>
      <c r="J44" s="24">
        <v>55.0</v>
      </c>
      <c r="K44" s="21" t="s">
        <v>19</v>
      </c>
      <c r="L44" s="21" t="s">
        <v>16</v>
      </c>
      <c r="M44" s="24">
        <v>0.0</v>
      </c>
      <c r="P44" s="9"/>
      <c r="Q44" s="9"/>
      <c r="R44" s="9"/>
      <c r="S44" s="9"/>
      <c r="T44" s="9"/>
      <c r="X44" s="24">
        <f>IFERROR(__xludf.DUMMYFUNCTION("""COMPUTED_VALUE"""),16.0)</f>
        <v>16</v>
      </c>
      <c r="Y44" s="24">
        <f>IFERROR(__xludf.DUMMYFUNCTION("""COMPUTED_VALUE"""),30.0)</f>
        <v>30</v>
      </c>
      <c r="Z44" s="24">
        <f>IFERROR(__xludf.DUMMYFUNCTION("""COMPUTED_VALUE"""),33.0)</f>
        <v>33</v>
      </c>
      <c r="AA44" s="28">
        <f>IFERROR(__xludf.DUMMYFUNCTION("""COMPUTED_VALUE"""),47.0)</f>
        <v>47</v>
      </c>
      <c r="AB44" s="28">
        <f>IFERROR(__xludf.DUMMYFUNCTION("""COMPUTED_VALUE"""),46.0)</f>
        <v>46</v>
      </c>
      <c r="AC44" s="11"/>
      <c r="AD44" s="11"/>
      <c r="AE44" s="11"/>
      <c r="AF44" s="11"/>
      <c r="AG44" s="11"/>
      <c r="AH44" s="29" t="s">
        <v>1237</v>
      </c>
      <c r="AI44" s="11"/>
      <c r="AJ44" s="11"/>
      <c r="AK44" s="11"/>
      <c r="AL44" s="11"/>
      <c r="AM44" s="11"/>
      <c r="AN44" s="11"/>
      <c r="AO44" s="14"/>
      <c r="AP44" s="15"/>
      <c r="AQ44" s="15"/>
      <c r="AR44" s="15"/>
      <c r="AS44" s="15"/>
      <c r="AT44" s="15"/>
      <c r="AU44" s="15"/>
      <c r="AV44" s="15"/>
      <c r="AW44" s="15"/>
      <c r="AX44" s="15"/>
      <c r="AY44" s="15"/>
      <c r="AZ44" s="15"/>
      <c r="BA44" s="15"/>
      <c r="BB44" s="15"/>
      <c r="BC44" s="15"/>
      <c r="BD44" s="15"/>
      <c r="BE44" s="15"/>
      <c r="BF44" s="15"/>
      <c r="BG44" s="15"/>
      <c r="BH44" s="15"/>
      <c r="BI44" s="15"/>
      <c r="BJ44" s="15"/>
      <c r="BK44" s="15"/>
      <c r="BL44" s="15"/>
    </row>
    <row r="45">
      <c r="A45" s="21" t="s">
        <v>110</v>
      </c>
      <c r="B45" s="21" t="s">
        <v>111</v>
      </c>
      <c r="C45" s="22">
        <v>45266.0</v>
      </c>
      <c r="D45" s="22" t="str">
        <f t="shared" si="1"/>
        <v>12.2023</v>
      </c>
      <c r="E45" s="22">
        <v>45278.0</v>
      </c>
      <c r="F45" s="21" t="s">
        <v>38</v>
      </c>
      <c r="G45" s="23">
        <v>2.8</v>
      </c>
      <c r="H45" s="24">
        <v>29.0</v>
      </c>
      <c r="I45" s="24">
        <v>1.0</v>
      </c>
      <c r="J45" s="24">
        <v>16.0</v>
      </c>
      <c r="K45" s="21" t="s">
        <v>15</v>
      </c>
      <c r="L45" s="21" t="s">
        <v>16</v>
      </c>
      <c r="M45" s="24">
        <v>1.0</v>
      </c>
      <c r="P45" s="9"/>
      <c r="Q45" s="9"/>
      <c r="R45" s="9"/>
      <c r="S45" s="9"/>
      <c r="T45" s="9"/>
      <c r="X45" s="24">
        <f>IFERROR(__xludf.DUMMYFUNCTION("""COMPUTED_VALUE"""),12.0)</f>
        <v>12</v>
      </c>
      <c r="Y45" s="24">
        <f>IFERROR(__xludf.DUMMYFUNCTION("""COMPUTED_VALUE"""),23.0)</f>
        <v>23</v>
      </c>
      <c r="Z45" s="24">
        <f>IFERROR(__xludf.DUMMYFUNCTION("""COMPUTED_VALUE"""),44.0)</f>
        <v>44</v>
      </c>
      <c r="AA45" s="28">
        <f>IFERROR(__xludf.DUMMYFUNCTION("""COMPUTED_VALUE"""),56.0)</f>
        <v>56</v>
      </c>
      <c r="AB45" s="28">
        <f>IFERROR(__xludf.DUMMYFUNCTION("""COMPUTED_VALUE"""),51.0)</f>
        <v>51</v>
      </c>
      <c r="AC45" s="11"/>
      <c r="AD45" s="11"/>
      <c r="AE45" s="11"/>
      <c r="AF45" s="11"/>
      <c r="AG45" s="11"/>
      <c r="AH45" s="75" t="s">
        <v>1284</v>
      </c>
      <c r="AI45" s="11"/>
      <c r="AJ45" s="11"/>
      <c r="AK45" s="11"/>
      <c r="AL45" s="11"/>
      <c r="AM45" s="11"/>
      <c r="AN45" s="11"/>
      <c r="AO45" s="14"/>
      <c r="AP45" s="15"/>
      <c r="AQ45" s="15"/>
      <c r="AR45" s="15"/>
      <c r="AS45" s="15"/>
      <c r="AT45" s="15"/>
      <c r="AU45" s="15"/>
      <c r="AV45" s="15"/>
      <c r="AW45" s="15"/>
      <c r="AX45" s="15"/>
      <c r="AY45" s="15"/>
      <c r="AZ45" s="15"/>
      <c r="BA45" s="15"/>
      <c r="BB45" s="15"/>
      <c r="BC45" s="15"/>
      <c r="BD45" s="15"/>
      <c r="BE45" s="15"/>
      <c r="BF45" s="15"/>
      <c r="BG45" s="15"/>
      <c r="BH45" s="15"/>
      <c r="BI45" s="15"/>
      <c r="BJ45" s="15"/>
      <c r="BK45" s="15"/>
      <c r="BL45" s="15"/>
    </row>
    <row r="46">
      <c r="A46" s="21" t="s">
        <v>112</v>
      </c>
      <c r="B46" s="21" t="s">
        <v>113</v>
      </c>
      <c r="C46" s="22">
        <v>45176.0</v>
      </c>
      <c r="D46" s="22" t="str">
        <f t="shared" si="1"/>
        <v>09.2023</v>
      </c>
      <c r="E46" s="22">
        <v>45188.0</v>
      </c>
      <c r="F46" s="21" t="s">
        <v>22</v>
      </c>
      <c r="G46" s="23">
        <v>3.8</v>
      </c>
      <c r="H46" s="24">
        <v>74.0</v>
      </c>
      <c r="I46" s="24">
        <v>0.0</v>
      </c>
      <c r="J46" s="24">
        <v>42.0</v>
      </c>
      <c r="K46" s="21" t="s">
        <v>15</v>
      </c>
      <c r="L46" s="21" t="s">
        <v>26</v>
      </c>
      <c r="M46" s="24">
        <v>0.0</v>
      </c>
      <c r="P46" s="9"/>
      <c r="Q46" s="9"/>
      <c r="R46" s="9"/>
      <c r="S46" s="9"/>
      <c r="T46" s="9"/>
      <c r="X46" s="24">
        <f>IFERROR(__xludf.DUMMYFUNCTION("""COMPUTED_VALUE"""),15.0)</f>
        <v>15</v>
      </c>
      <c r="Y46" s="24">
        <f>IFERROR(__xludf.DUMMYFUNCTION("""COMPUTED_VALUE"""),28.0)</f>
        <v>28</v>
      </c>
      <c r="Z46" s="24">
        <f>IFERROR(__xludf.DUMMYFUNCTION("""COMPUTED_VALUE"""),30.0)</f>
        <v>30</v>
      </c>
      <c r="AA46" s="28">
        <f>IFERROR(__xludf.DUMMYFUNCTION("""COMPUTED_VALUE"""),30.0)</f>
        <v>30</v>
      </c>
      <c r="AB46" s="28">
        <f>IFERROR(__xludf.DUMMYFUNCTION("""COMPUTED_VALUE"""),55.0)</f>
        <v>55</v>
      </c>
      <c r="AC46" s="11"/>
      <c r="AD46" s="11"/>
      <c r="AE46" s="11"/>
      <c r="AF46" s="11"/>
      <c r="AG46" s="11"/>
      <c r="AH46" s="46"/>
      <c r="AI46" s="11"/>
      <c r="AJ46" s="11"/>
      <c r="AK46" s="11"/>
      <c r="AL46" s="11"/>
      <c r="AM46" s="11"/>
      <c r="AN46" s="11"/>
      <c r="AO46" s="14"/>
      <c r="AP46" s="15"/>
      <c r="AQ46" s="15"/>
      <c r="AR46" s="15"/>
      <c r="AS46" s="15"/>
      <c r="AT46" s="15"/>
      <c r="AU46" s="15"/>
      <c r="AV46" s="15"/>
      <c r="AW46" s="15"/>
      <c r="AX46" s="15"/>
      <c r="AY46" s="15"/>
      <c r="AZ46" s="15"/>
      <c r="BA46" s="15"/>
      <c r="BB46" s="15"/>
      <c r="BC46" s="15"/>
      <c r="BD46" s="15"/>
      <c r="BE46" s="15"/>
      <c r="BF46" s="15"/>
      <c r="BG46" s="15"/>
      <c r="BH46" s="15"/>
      <c r="BI46" s="15"/>
      <c r="BJ46" s="15"/>
      <c r="BK46" s="15"/>
      <c r="BL46" s="15"/>
    </row>
    <row r="47">
      <c r="A47" s="21" t="s">
        <v>114</v>
      </c>
      <c r="B47" s="21" t="s">
        <v>115</v>
      </c>
      <c r="C47" s="22">
        <v>44945.0</v>
      </c>
      <c r="D47" s="22" t="str">
        <f t="shared" si="1"/>
        <v>01.2023</v>
      </c>
      <c r="E47" s="22">
        <v>44957.0</v>
      </c>
      <c r="F47" s="21" t="s">
        <v>22</v>
      </c>
      <c r="G47" s="23">
        <v>4.1</v>
      </c>
      <c r="H47" s="24">
        <v>12.0</v>
      </c>
      <c r="I47" s="24">
        <v>1.0</v>
      </c>
      <c r="J47" s="24">
        <v>53.0</v>
      </c>
      <c r="K47" s="21" t="s">
        <v>23</v>
      </c>
      <c r="L47" s="21" t="s">
        <v>16</v>
      </c>
      <c r="M47" s="24">
        <v>1.0</v>
      </c>
      <c r="P47" s="9"/>
      <c r="Q47" s="9"/>
      <c r="R47" s="9"/>
      <c r="S47" s="9"/>
      <c r="T47" s="9"/>
      <c r="X47" s="24">
        <f>IFERROR(__xludf.DUMMYFUNCTION("""COMPUTED_VALUE"""),20.0)</f>
        <v>20</v>
      </c>
      <c r="Y47" s="24">
        <f>IFERROR(__xludf.DUMMYFUNCTION("""COMPUTED_VALUE"""),46.0)</f>
        <v>46</v>
      </c>
      <c r="Z47" s="24">
        <f>IFERROR(__xludf.DUMMYFUNCTION("""COMPUTED_VALUE"""),13.0)</f>
        <v>13</v>
      </c>
      <c r="AA47" s="28">
        <f>IFERROR(__xludf.DUMMYFUNCTION("""COMPUTED_VALUE"""),23.0)</f>
        <v>23</v>
      </c>
      <c r="AB47" s="28">
        <f>IFERROR(__xludf.DUMMYFUNCTION("""COMPUTED_VALUE"""),21.0)</f>
        <v>21</v>
      </c>
      <c r="AC47" s="11"/>
      <c r="AD47" s="11"/>
      <c r="AE47" s="11"/>
      <c r="AF47" s="11"/>
      <c r="AG47" s="11"/>
      <c r="AH47" s="46"/>
      <c r="AI47" s="11"/>
      <c r="AJ47" s="11"/>
      <c r="AK47" s="11"/>
      <c r="AL47" s="11"/>
      <c r="AM47" s="11"/>
      <c r="AN47" s="11"/>
      <c r="AO47" s="14"/>
      <c r="AP47" s="15"/>
      <c r="AQ47" s="15"/>
      <c r="AR47" s="15"/>
      <c r="AS47" s="15"/>
      <c r="AT47" s="15"/>
      <c r="AU47" s="15"/>
      <c r="AV47" s="15"/>
      <c r="AW47" s="15"/>
      <c r="AX47" s="15"/>
      <c r="AY47" s="15"/>
      <c r="AZ47" s="15"/>
      <c r="BA47" s="15"/>
      <c r="BB47" s="15"/>
      <c r="BC47" s="15"/>
      <c r="BD47" s="15"/>
      <c r="BE47" s="15"/>
      <c r="BF47" s="15"/>
      <c r="BG47" s="15"/>
      <c r="BH47" s="15"/>
      <c r="BI47" s="15"/>
      <c r="BJ47" s="15"/>
      <c r="BK47" s="15"/>
      <c r="BL47" s="15"/>
    </row>
    <row r="48">
      <c r="A48" s="21" t="s">
        <v>116</v>
      </c>
      <c r="B48" s="21" t="s">
        <v>117</v>
      </c>
      <c r="C48" s="22">
        <v>44961.0</v>
      </c>
      <c r="D48" s="22" t="str">
        <f t="shared" si="1"/>
        <v>02.2023</v>
      </c>
      <c r="E48" s="22">
        <v>44973.0</v>
      </c>
      <c r="F48" s="21" t="s">
        <v>14</v>
      </c>
      <c r="G48" s="23">
        <v>4.9</v>
      </c>
      <c r="H48" s="24">
        <v>95.0</v>
      </c>
      <c r="I48" s="24">
        <v>0.0</v>
      </c>
      <c r="J48" s="24">
        <v>37.0</v>
      </c>
      <c r="K48" s="21" t="s">
        <v>32</v>
      </c>
      <c r="L48" s="21" t="s">
        <v>16</v>
      </c>
      <c r="M48" s="24">
        <v>0.0</v>
      </c>
      <c r="P48" s="9"/>
      <c r="Q48" s="9"/>
      <c r="R48" s="9"/>
      <c r="S48" s="9"/>
      <c r="T48" s="9"/>
      <c r="X48" s="24">
        <f>IFERROR(__xludf.DUMMYFUNCTION("""COMPUTED_VALUE"""),31.0)</f>
        <v>31</v>
      </c>
      <c r="Y48" s="24">
        <f>IFERROR(__xludf.DUMMYFUNCTION("""COMPUTED_VALUE"""),13.0)</f>
        <v>13</v>
      </c>
      <c r="Z48" s="24">
        <f>IFERROR(__xludf.DUMMYFUNCTION("""COMPUTED_VALUE"""),50.0)</f>
        <v>50</v>
      </c>
      <c r="AA48" s="28">
        <f>IFERROR(__xludf.DUMMYFUNCTION("""COMPUTED_VALUE"""),12.0)</f>
        <v>12</v>
      </c>
      <c r="AB48" s="28">
        <f>IFERROR(__xludf.DUMMYFUNCTION("""COMPUTED_VALUE"""),40.0)</f>
        <v>40</v>
      </c>
      <c r="AC48" s="11"/>
      <c r="AD48" s="11"/>
      <c r="AE48" s="11"/>
      <c r="AF48" s="11"/>
      <c r="AG48" s="11"/>
      <c r="AH48" s="46"/>
      <c r="AI48" s="11"/>
      <c r="AJ48" s="11"/>
      <c r="AK48" s="11"/>
      <c r="AL48" s="11"/>
      <c r="AM48" s="11"/>
      <c r="AN48" s="11"/>
      <c r="AO48" s="14"/>
      <c r="AP48" s="15"/>
      <c r="AQ48" s="15"/>
      <c r="AR48" s="15"/>
      <c r="AS48" s="15"/>
      <c r="AT48" s="15"/>
      <c r="AU48" s="15"/>
      <c r="AV48" s="15"/>
      <c r="AW48" s="15"/>
      <c r="AX48" s="15"/>
      <c r="AY48" s="15"/>
      <c r="AZ48" s="15"/>
      <c r="BA48" s="15"/>
      <c r="BB48" s="15"/>
      <c r="BC48" s="15"/>
      <c r="BD48" s="15"/>
      <c r="BE48" s="15"/>
      <c r="BF48" s="15"/>
      <c r="BG48" s="15"/>
      <c r="BH48" s="15"/>
      <c r="BI48" s="15"/>
      <c r="BJ48" s="15"/>
      <c r="BK48" s="15"/>
      <c r="BL48" s="15"/>
    </row>
    <row r="49">
      <c r="A49" s="21" t="s">
        <v>118</v>
      </c>
      <c r="B49" s="21" t="s">
        <v>119</v>
      </c>
      <c r="C49" s="22">
        <v>45022.0</v>
      </c>
      <c r="D49" s="22" t="str">
        <f t="shared" si="1"/>
        <v>04.2023</v>
      </c>
      <c r="E49" s="22">
        <v>45034.0</v>
      </c>
      <c r="F49" s="21" t="s">
        <v>22</v>
      </c>
      <c r="G49" s="23">
        <v>3.2</v>
      </c>
      <c r="H49" s="24">
        <v>85.0</v>
      </c>
      <c r="I49" s="24">
        <v>1.0</v>
      </c>
      <c r="J49" s="24">
        <v>34.0</v>
      </c>
      <c r="K49" s="21" t="s">
        <v>32</v>
      </c>
      <c r="L49" s="21" t="s">
        <v>47</v>
      </c>
      <c r="M49" s="24">
        <v>1.0</v>
      </c>
      <c r="X49" s="24">
        <f>IFERROR(__xludf.DUMMYFUNCTION("""COMPUTED_VALUE"""),39.0)</f>
        <v>39</v>
      </c>
      <c r="Y49" s="24">
        <f>IFERROR(__xludf.DUMMYFUNCTION("""COMPUTED_VALUE"""),50.0)</f>
        <v>50</v>
      </c>
      <c r="Z49" s="24">
        <f>IFERROR(__xludf.DUMMYFUNCTION("""COMPUTED_VALUE"""),27.0)</f>
        <v>27</v>
      </c>
      <c r="AA49" s="28">
        <f>IFERROR(__xludf.DUMMYFUNCTION("""COMPUTED_VALUE"""),34.0)</f>
        <v>34</v>
      </c>
      <c r="AB49" s="28">
        <f>IFERROR(__xludf.DUMMYFUNCTION("""COMPUTED_VALUE"""),36.0)</f>
        <v>36</v>
      </c>
      <c r="AC49" s="11"/>
      <c r="AD49" s="11"/>
      <c r="AE49" s="11"/>
      <c r="AF49" s="11"/>
      <c r="AG49" s="11"/>
      <c r="AH49" s="46"/>
      <c r="AI49" s="11"/>
      <c r="AJ49" s="11"/>
      <c r="AK49" s="11"/>
      <c r="AL49" s="11"/>
      <c r="AM49" s="11"/>
      <c r="AN49" s="11"/>
      <c r="AO49" s="14"/>
      <c r="AP49" s="15"/>
      <c r="AQ49" s="15"/>
      <c r="AR49" s="15"/>
      <c r="AS49" s="15"/>
      <c r="AT49" s="15"/>
      <c r="AU49" s="15"/>
      <c r="AV49" s="15"/>
      <c r="AW49" s="15"/>
      <c r="AX49" s="15"/>
      <c r="AY49" s="15"/>
      <c r="AZ49" s="15"/>
      <c r="BA49" s="15"/>
      <c r="BB49" s="15"/>
      <c r="BC49" s="15"/>
      <c r="BD49" s="15"/>
      <c r="BE49" s="15"/>
      <c r="BF49" s="15"/>
      <c r="BG49" s="15"/>
      <c r="BH49" s="15"/>
      <c r="BI49" s="15"/>
      <c r="BJ49" s="15"/>
      <c r="BK49" s="15"/>
      <c r="BL49" s="15"/>
    </row>
    <row r="50">
      <c r="A50" s="21" t="s">
        <v>120</v>
      </c>
      <c r="B50" s="21" t="s">
        <v>121</v>
      </c>
      <c r="C50" s="22">
        <v>45122.0</v>
      </c>
      <c r="D50" s="22" t="str">
        <f t="shared" si="1"/>
        <v>07.2023</v>
      </c>
      <c r="E50" s="22">
        <v>45134.0</v>
      </c>
      <c r="F50" s="21" t="s">
        <v>14</v>
      </c>
      <c r="G50" s="23">
        <v>5.0</v>
      </c>
      <c r="H50" s="24">
        <v>98.0</v>
      </c>
      <c r="I50" s="24">
        <v>0.0</v>
      </c>
      <c r="J50" s="24">
        <v>29.0</v>
      </c>
      <c r="K50" s="21" t="s">
        <v>32</v>
      </c>
      <c r="L50" s="21" t="s">
        <v>16</v>
      </c>
      <c r="M50" s="24">
        <v>1.0</v>
      </c>
      <c r="X50" s="24">
        <f>IFERROR(__xludf.DUMMYFUNCTION("""COMPUTED_VALUE"""),30.0)</f>
        <v>30</v>
      </c>
      <c r="Y50" s="24">
        <f>IFERROR(__xludf.DUMMYFUNCTION("""COMPUTED_VALUE"""),38.0)</f>
        <v>38</v>
      </c>
      <c r="Z50" s="24">
        <f>IFERROR(__xludf.DUMMYFUNCTION("""COMPUTED_VALUE"""),42.0)</f>
        <v>42</v>
      </c>
      <c r="AA50" s="28">
        <f>IFERROR(__xludf.DUMMYFUNCTION("""COMPUTED_VALUE"""),47.0)</f>
        <v>47</v>
      </c>
      <c r="AB50" s="28">
        <f>IFERROR(__xludf.DUMMYFUNCTION("""COMPUTED_VALUE"""),31.0)</f>
        <v>31</v>
      </c>
      <c r="AC50" s="11"/>
      <c r="AD50" s="11"/>
      <c r="AE50" s="11"/>
      <c r="AF50" s="11"/>
      <c r="AG50" s="11"/>
      <c r="AH50" s="46"/>
      <c r="AI50" s="11"/>
      <c r="AJ50" s="11"/>
      <c r="AK50" s="11"/>
      <c r="AL50" s="11"/>
      <c r="AM50" s="11"/>
      <c r="AN50" s="11"/>
      <c r="AO50" s="14"/>
      <c r="AP50" s="15"/>
      <c r="AQ50" s="15"/>
      <c r="AR50" s="15"/>
      <c r="AS50" s="15"/>
      <c r="AT50" s="15"/>
      <c r="AU50" s="15"/>
      <c r="AV50" s="15"/>
      <c r="AW50" s="15"/>
      <c r="AX50" s="15"/>
      <c r="AY50" s="15"/>
      <c r="AZ50" s="15"/>
      <c r="BA50" s="15"/>
      <c r="BB50" s="15"/>
      <c r="BC50" s="15"/>
      <c r="BD50" s="15"/>
      <c r="BE50" s="15"/>
      <c r="BF50" s="15"/>
      <c r="BG50" s="15"/>
      <c r="BH50" s="15"/>
      <c r="BI50" s="15"/>
      <c r="BJ50" s="15"/>
      <c r="BK50" s="15"/>
      <c r="BL50" s="15"/>
    </row>
    <row r="51">
      <c r="A51" s="21" t="s">
        <v>122</v>
      </c>
      <c r="B51" s="21" t="s">
        <v>123</v>
      </c>
      <c r="C51" s="22">
        <v>44927.0</v>
      </c>
      <c r="D51" s="22" t="str">
        <f t="shared" si="1"/>
        <v>01.2023</v>
      </c>
      <c r="E51" s="22">
        <v>44939.0</v>
      </c>
      <c r="F51" s="21" t="s">
        <v>14</v>
      </c>
      <c r="G51" s="23">
        <v>2.4</v>
      </c>
      <c r="H51" s="24">
        <v>92.0</v>
      </c>
      <c r="I51" s="24">
        <v>1.0</v>
      </c>
      <c r="J51" s="24">
        <v>45.0</v>
      </c>
      <c r="K51" s="21" t="s">
        <v>23</v>
      </c>
      <c r="L51" s="21" t="s">
        <v>26</v>
      </c>
      <c r="M51" s="24">
        <v>1.0</v>
      </c>
      <c r="X51" s="24">
        <f>IFERROR(__xludf.DUMMYFUNCTION("""COMPUTED_VALUE"""),21.0)</f>
        <v>21</v>
      </c>
      <c r="Y51" s="24">
        <f>IFERROR(__xludf.DUMMYFUNCTION("""COMPUTED_VALUE"""),34.0)</f>
        <v>34</v>
      </c>
      <c r="Z51" s="24">
        <f>IFERROR(__xludf.DUMMYFUNCTION("""COMPUTED_VALUE"""),52.0)</f>
        <v>52</v>
      </c>
      <c r="AA51" s="28">
        <f>IFERROR(__xludf.DUMMYFUNCTION("""COMPUTED_VALUE"""),42.0)</f>
        <v>42</v>
      </c>
      <c r="AB51" s="28">
        <f>IFERROR(__xludf.DUMMYFUNCTION("""COMPUTED_VALUE"""),43.0)</f>
        <v>43</v>
      </c>
      <c r="AC51" s="11"/>
      <c r="AD51" s="11"/>
      <c r="AE51" s="11"/>
      <c r="AF51" s="11"/>
      <c r="AG51" s="11"/>
      <c r="AH51" s="46"/>
      <c r="AI51" s="11"/>
      <c r="AJ51" s="11"/>
      <c r="AK51" s="11"/>
      <c r="AL51" s="11"/>
      <c r="AM51" s="11"/>
      <c r="AN51" s="11"/>
      <c r="AO51" s="14"/>
      <c r="AP51" s="15"/>
      <c r="AQ51" s="15"/>
      <c r="AR51" s="15"/>
      <c r="AS51" s="15"/>
      <c r="AT51" s="15"/>
      <c r="AU51" s="15"/>
      <c r="AV51" s="15"/>
      <c r="AW51" s="15"/>
      <c r="AX51" s="15"/>
      <c r="AY51" s="15"/>
      <c r="AZ51" s="15"/>
      <c r="BA51" s="15"/>
      <c r="BB51" s="15"/>
      <c r="BC51" s="15"/>
      <c r="BD51" s="15"/>
      <c r="BE51" s="15"/>
      <c r="BF51" s="15"/>
      <c r="BG51" s="15"/>
      <c r="BH51" s="15"/>
      <c r="BI51" s="15"/>
      <c r="BJ51" s="15"/>
      <c r="BK51" s="15"/>
      <c r="BL51" s="15"/>
    </row>
    <row r="52">
      <c r="A52" s="21" t="s">
        <v>124</v>
      </c>
      <c r="B52" s="21" t="s">
        <v>125</v>
      </c>
      <c r="C52" s="22">
        <v>45082.0</v>
      </c>
      <c r="D52" s="22" t="str">
        <f t="shared" si="1"/>
        <v>06.2023</v>
      </c>
      <c r="E52" s="22">
        <v>45094.0</v>
      </c>
      <c r="F52" s="21" t="s">
        <v>22</v>
      </c>
      <c r="G52" s="23">
        <v>1.3</v>
      </c>
      <c r="H52" s="24">
        <v>46.0</v>
      </c>
      <c r="I52" s="24">
        <v>0.0</v>
      </c>
      <c r="J52" s="24">
        <v>22.0</v>
      </c>
      <c r="K52" s="21" t="s">
        <v>15</v>
      </c>
      <c r="L52" s="21" t="s">
        <v>47</v>
      </c>
      <c r="M52" s="24">
        <v>1.0</v>
      </c>
      <c r="X52" s="24">
        <f>IFERROR(__xludf.DUMMYFUNCTION("""COMPUTED_VALUE"""),51.0)</f>
        <v>51</v>
      </c>
      <c r="Y52" s="24">
        <f>IFERROR(__xludf.DUMMYFUNCTION("""COMPUTED_VALUE"""),55.0)</f>
        <v>55</v>
      </c>
      <c r="Z52" s="24">
        <f>IFERROR(__xludf.DUMMYFUNCTION("""COMPUTED_VALUE"""),29.0)</f>
        <v>29</v>
      </c>
      <c r="AA52" s="28">
        <f>IFERROR(__xludf.DUMMYFUNCTION("""COMPUTED_VALUE"""),18.0)</f>
        <v>18</v>
      </c>
      <c r="AB52" s="28">
        <f>IFERROR(__xludf.DUMMYFUNCTION("""COMPUTED_VALUE"""),15.0)</f>
        <v>15</v>
      </c>
      <c r="AC52" s="11"/>
      <c r="AD52" s="11"/>
      <c r="AE52" s="11"/>
      <c r="AF52" s="11"/>
      <c r="AG52" s="11"/>
      <c r="AH52" s="88"/>
      <c r="AI52" s="11"/>
      <c r="AJ52" s="11"/>
      <c r="AK52" s="11"/>
      <c r="AL52" s="11"/>
      <c r="AM52" s="11"/>
      <c r="AN52" s="11"/>
      <c r="AO52" s="14"/>
      <c r="AP52" s="15"/>
      <c r="AQ52" s="15"/>
      <c r="AR52" s="15"/>
      <c r="AS52" s="15"/>
      <c r="AT52" s="15"/>
      <c r="AU52" s="15"/>
      <c r="AV52" s="15"/>
      <c r="AW52" s="15"/>
      <c r="AX52" s="15"/>
      <c r="AY52" s="15"/>
      <c r="AZ52" s="15"/>
      <c r="BA52" s="15"/>
      <c r="BB52" s="15"/>
      <c r="BC52" s="15"/>
      <c r="BD52" s="15"/>
      <c r="BE52" s="15"/>
      <c r="BF52" s="15"/>
      <c r="BG52" s="15"/>
      <c r="BH52" s="15"/>
      <c r="BI52" s="15"/>
      <c r="BJ52" s="15"/>
      <c r="BK52" s="15"/>
      <c r="BL52" s="15"/>
    </row>
    <row r="53">
      <c r="A53" s="21" t="s">
        <v>126</v>
      </c>
      <c r="B53" s="21" t="s">
        <v>127</v>
      </c>
      <c r="C53" s="22">
        <v>44975.0</v>
      </c>
      <c r="D53" s="22" t="str">
        <f t="shared" si="1"/>
        <v>02.2023</v>
      </c>
      <c r="E53" s="22">
        <v>44987.0</v>
      </c>
      <c r="F53" s="21" t="s">
        <v>14</v>
      </c>
      <c r="G53" s="23">
        <v>1.7</v>
      </c>
      <c r="H53" s="24">
        <v>38.0</v>
      </c>
      <c r="I53" s="24">
        <v>0.0</v>
      </c>
      <c r="J53" s="24">
        <v>50.0</v>
      </c>
      <c r="K53" s="21" t="s">
        <v>32</v>
      </c>
      <c r="L53" s="21" t="s">
        <v>47</v>
      </c>
      <c r="M53" s="24">
        <v>1.0</v>
      </c>
      <c r="X53" s="24">
        <f>IFERROR(__xludf.DUMMYFUNCTION("""COMPUTED_VALUE"""),49.0)</f>
        <v>49</v>
      </c>
      <c r="Y53" s="24">
        <f>IFERROR(__xludf.DUMMYFUNCTION("""COMPUTED_VALUE"""),39.0)</f>
        <v>39</v>
      </c>
      <c r="Z53" s="24">
        <f>IFERROR(__xludf.DUMMYFUNCTION("""COMPUTED_VALUE"""),22.0)</f>
        <v>22</v>
      </c>
      <c r="AA53" s="28">
        <f>IFERROR(__xludf.DUMMYFUNCTION("""COMPUTED_VALUE"""),32.0)</f>
        <v>32</v>
      </c>
      <c r="AB53" s="28">
        <f>IFERROR(__xludf.DUMMYFUNCTION("""COMPUTED_VALUE"""),39.0)</f>
        <v>39</v>
      </c>
      <c r="AC53" s="11"/>
      <c r="AD53" s="11"/>
      <c r="AE53" s="11"/>
      <c r="AF53" s="11"/>
      <c r="AG53" s="11"/>
      <c r="AH53" s="10"/>
      <c r="AI53" s="11"/>
      <c r="AJ53" s="11"/>
      <c r="AK53" s="11"/>
      <c r="AL53" s="11"/>
      <c r="AM53" s="11"/>
      <c r="AN53" s="11"/>
      <c r="AO53" s="14"/>
      <c r="AP53" s="15"/>
      <c r="AQ53" s="15"/>
      <c r="AR53" s="15"/>
      <c r="AS53" s="15"/>
      <c r="AT53" s="15"/>
      <c r="AU53" s="15"/>
      <c r="AV53" s="15"/>
      <c r="AW53" s="15"/>
      <c r="AX53" s="15"/>
      <c r="AY53" s="15"/>
      <c r="AZ53" s="15"/>
      <c r="BA53" s="15"/>
      <c r="BB53" s="15"/>
      <c r="BC53" s="15"/>
      <c r="BD53" s="15"/>
      <c r="BE53" s="15"/>
      <c r="BF53" s="15"/>
      <c r="BG53" s="15"/>
      <c r="BH53" s="15"/>
      <c r="BI53" s="15"/>
      <c r="BJ53" s="15"/>
      <c r="BK53" s="15"/>
      <c r="BL53" s="15"/>
    </row>
    <row r="54">
      <c r="A54" s="21" t="s">
        <v>128</v>
      </c>
      <c r="B54" s="21" t="s">
        <v>129</v>
      </c>
      <c r="C54" s="22">
        <v>45141.0</v>
      </c>
      <c r="D54" s="22" t="str">
        <f t="shared" si="1"/>
        <v>08.2023</v>
      </c>
      <c r="E54" s="22">
        <v>45153.0</v>
      </c>
      <c r="F54" s="21" t="s">
        <v>38</v>
      </c>
      <c r="G54" s="23">
        <v>0.0</v>
      </c>
      <c r="H54" s="24">
        <v>6.0</v>
      </c>
      <c r="I54" s="24">
        <v>1.0</v>
      </c>
      <c r="J54" s="24">
        <v>25.0</v>
      </c>
      <c r="K54" s="21" t="s">
        <v>35</v>
      </c>
      <c r="L54" s="21" t="s">
        <v>16</v>
      </c>
      <c r="M54" s="24">
        <v>0.0</v>
      </c>
      <c r="X54" s="24">
        <f>IFERROR(__xludf.DUMMYFUNCTION("""COMPUTED_VALUE"""),52.0)</f>
        <v>52</v>
      </c>
      <c r="Y54" s="24">
        <f>IFERROR(__xludf.DUMMYFUNCTION("""COMPUTED_VALUE"""),45.0)</f>
        <v>45</v>
      </c>
      <c r="Z54" s="24">
        <f>IFERROR(__xludf.DUMMYFUNCTION("""COMPUTED_VALUE"""),18.0)</f>
        <v>18</v>
      </c>
      <c r="AA54" s="28">
        <f>IFERROR(__xludf.DUMMYFUNCTION("""COMPUTED_VALUE"""),20.0)</f>
        <v>20</v>
      </c>
      <c r="AB54" s="28">
        <f>IFERROR(__xludf.DUMMYFUNCTION("""COMPUTED_VALUE"""),25.0)</f>
        <v>25</v>
      </c>
      <c r="AC54" s="11"/>
      <c r="AD54" s="11"/>
      <c r="AE54" s="11"/>
      <c r="AF54" s="11"/>
      <c r="AG54" s="11"/>
      <c r="AH54" s="10"/>
      <c r="AI54" s="11"/>
      <c r="AJ54" s="11"/>
      <c r="AK54" s="11"/>
      <c r="AL54" s="11"/>
      <c r="AM54" s="11"/>
      <c r="AN54" s="11"/>
      <c r="AO54" s="14"/>
      <c r="AP54" s="15"/>
      <c r="AQ54" s="15"/>
      <c r="AR54" s="15"/>
      <c r="AS54" s="15"/>
      <c r="AT54" s="15"/>
      <c r="AU54" s="15"/>
      <c r="AV54" s="15"/>
      <c r="AW54" s="15"/>
      <c r="AX54" s="15"/>
      <c r="AY54" s="15"/>
      <c r="AZ54" s="15"/>
      <c r="BA54" s="15"/>
      <c r="BB54" s="15"/>
      <c r="BC54" s="15"/>
      <c r="BD54" s="15"/>
      <c r="BE54" s="15"/>
      <c r="BF54" s="15"/>
      <c r="BG54" s="15"/>
      <c r="BH54" s="15"/>
      <c r="BI54" s="15"/>
      <c r="BJ54" s="15"/>
      <c r="BK54" s="15"/>
      <c r="BL54" s="15"/>
    </row>
    <row r="55">
      <c r="A55" s="21" t="s">
        <v>130</v>
      </c>
      <c r="B55" s="21" t="s">
        <v>131</v>
      </c>
      <c r="C55" s="22">
        <v>45179.0</v>
      </c>
      <c r="D55" s="22" t="str">
        <f t="shared" si="1"/>
        <v>09.2023</v>
      </c>
      <c r="E55" s="22">
        <v>45191.0</v>
      </c>
      <c r="F55" s="21" t="s">
        <v>14</v>
      </c>
      <c r="G55" s="23">
        <v>2.6</v>
      </c>
      <c r="H55" s="24">
        <v>58.0</v>
      </c>
      <c r="I55" s="24">
        <v>0.0</v>
      </c>
      <c r="J55" s="24">
        <v>47.0</v>
      </c>
      <c r="K55" s="21" t="s">
        <v>32</v>
      </c>
      <c r="L55" s="21" t="s">
        <v>26</v>
      </c>
      <c r="M55" s="24">
        <v>1.0</v>
      </c>
      <c r="X55" s="24">
        <f>IFERROR(__xludf.DUMMYFUNCTION("""COMPUTED_VALUE"""),40.0)</f>
        <v>40</v>
      </c>
      <c r="Y55" s="24">
        <f>IFERROR(__xludf.DUMMYFUNCTION("""COMPUTED_VALUE"""),51.0)</f>
        <v>51</v>
      </c>
      <c r="Z55" s="24">
        <f>IFERROR(__xludf.DUMMYFUNCTION("""COMPUTED_VALUE"""),31.0)</f>
        <v>31</v>
      </c>
      <c r="AA55" s="28">
        <f>IFERROR(__xludf.DUMMYFUNCTION("""COMPUTED_VALUE"""),16.0)</f>
        <v>16</v>
      </c>
      <c r="AB55" s="28">
        <f>IFERROR(__xludf.DUMMYFUNCTION("""COMPUTED_VALUE"""),12.0)</f>
        <v>12</v>
      </c>
      <c r="AC55" s="11"/>
      <c r="AD55" s="11"/>
      <c r="AE55" s="11"/>
      <c r="AF55" s="11"/>
      <c r="AG55" s="11"/>
      <c r="AH55" s="11"/>
      <c r="AI55" s="11"/>
      <c r="AJ55" s="11"/>
      <c r="AK55" s="11"/>
      <c r="AL55" s="11"/>
      <c r="AM55" s="11"/>
      <c r="AN55" s="11"/>
      <c r="AO55" s="14"/>
      <c r="AP55" s="15"/>
      <c r="AQ55" s="15"/>
      <c r="AR55" s="15"/>
      <c r="AS55" s="15"/>
      <c r="AT55" s="15"/>
      <c r="AU55" s="15"/>
      <c r="AV55" s="15"/>
      <c r="AW55" s="15"/>
      <c r="AX55" s="15"/>
      <c r="AY55" s="15"/>
      <c r="AZ55" s="15"/>
      <c r="BA55" s="15"/>
      <c r="BB55" s="15"/>
      <c r="BC55" s="15"/>
      <c r="BD55" s="15"/>
      <c r="BE55" s="15"/>
      <c r="BF55" s="15"/>
      <c r="BG55" s="15"/>
      <c r="BH55" s="15"/>
      <c r="BI55" s="15"/>
      <c r="BJ55" s="15"/>
      <c r="BK55" s="15"/>
      <c r="BL55" s="15"/>
    </row>
    <row r="56">
      <c r="A56" s="21" t="s">
        <v>132</v>
      </c>
      <c r="B56" s="21" t="s">
        <v>133</v>
      </c>
      <c r="C56" s="22">
        <v>44938.0</v>
      </c>
      <c r="D56" s="22" t="str">
        <f t="shared" si="1"/>
        <v>01.2023</v>
      </c>
      <c r="E56" s="22">
        <v>44950.0</v>
      </c>
      <c r="F56" s="21" t="s">
        <v>22</v>
      </c>
      <c r="G56" s="23">
        <v>0.6</v>
      </c>
      <c r="H56" s="24">
        <v>80.0</v>
      </c>
      <c r="I56" s="24">
        <v>1.0</v>
      </c>
      <c r="J56" s="24">
        <v>42.0</v>
      </c>
      <c r="K56" s="21" t="s">
        <v>35</v>
      </c>
      <c r="L56" s="21" t="s">
        <v>26</v>
      </c>
      <c r="M56" s="24">
        <v>1.0</v>
      </c>
      <c r="X56" s="24">
        <f>IFERROR(__xludf.DUMMYFUNCTION("""COMPUTED_VALUE"""),50.0)</f>
        <v>50</v>
      </c>
      <c r="Y56" s="24">
        <f>IFERROR(__xludf.DUMMYFUNCTION("""COMPUTED_VALUE"""),53.0)</f>
        <v>53</v>
      </c>
      <c r="Z56" s="24">
        <f>IFERROR(__xludf.DUMMYFUNCTION("""COMPUTED_VALUE"""),36.0)</f>
        <v>36</v>
      </c>
      <c r="AA56" s="28">
        <f>IFERROR(__xludf.DUMMYFUNCTION("""COMPUTED_VALUE"""),19.0)</f>
        <v>19</v>
      </c>
      <c r="AB56" s="28">
        <f>IFERROR(__xludf.DUMMYFUNCTION("""COMPUTED_VALUE"""),20.0)</f>
        <v>20</v>
      </c>
      <c r="AC56" s="11"/>
      <c r="AD56" s="11"/>
      <c r="AE56" s="11"/>
      <c r="AF56" s="11"/>
      <c r="AG56" s="11"/>
      <c r="AH56" s="11"/>
      <c r="AI56" s="11"/>
      <c r="AO56" s="14"/>
      <c r="AP56" s="15"/>
      <c r="AQ56" s="15"/>
      <c r="AR56" s="15"/>
      <c r="AS56" s="15"/>
      <c r="AT56" s="15"/>
      <c r="AU56" s="15"/>
      <c r="AV56" s="15"/>
      <c r="AW56" s="15"/>
      <c r="AX56" s="15"/>
      <c r="AY56" s="15"/>
      <c r="AZ56" s="15"/>
      <c r="BA56" s="15"/>
      <c r="BB56" s="15"/>
      <c r="BC56" s="15"/>
      <c r="BD56" s="15"/>
      <c r="BE56" s="15"/>
      <c r="BF56" s="15"/>
      <c r="BG56" s="15"/>
      <c r="BH56" s="15"/>
      <c r="BI56" s="15"/>
      <c r="BJ56" s="15"/>
      <c r="BK56" s="15"/>
      <c r="BL56" s="15"/>
    </row>
    <row r="57">
      <c r="A57" s="21" t="s">
        <v>134</v>
      </c>
      <c r="B57" s="21" t="s">
        <v>135</v>
      </c>
      <c r="C57" s="22">
        <v>45039.0</v>
      </c>
      <c r="D57" s="22" t="str">
        <f t="shared" si="1"/>
        <v>04.2023</v>
      </c>
      <c r="E57" s="22">
        <v>45051.0</v>
      </c>
      <c r="F57" s="21" t="s">
        <v>22</v>
      </c>
      <c r="G57" s="23">
        <v>1.1</v>
      </c>
      <c r="H57" s="24">
        <v>30.0</v>
      </c>
      <c r="I57" s="24">
        <v>0.0</v>
      </c>
      <c r="J57" s="24">
        <v>44.0</v>
      </c>
      <c r="K57" s="21" t="s">
        <v>35</v>
      </c>
      <c r="L57" s="21" t="s">
        <v>16</v>
      </c>
      <c r="M57" s="24">
        <v>1.0</v>
      </c>
      <c r="X57" s="24">
        <f>IFERROR(__xludf.DUMMYFUNCTION("""COMPUTED_VALUE"""),51.0)</f>
        <v>51</v>
      </c>
      <c r="Y57" s="24">
        <f>IFERROR(__xludf.DUMMYFUNCTION("""COMPUTED_VALUE"""),36.0)</f>
        <v>36</v>
      </c>
      <c r="Z57" s="24">
        <f>IFERROR(__xludf.DUMMYFUNCTION("""COMPUTED_VALUE"""),47.0)</f>
        <v>47</v>
      </c>
      <c r="AA57" s="28">
        <f>IFERROR(__xludf.DUMMYFUNCTION("""COMPUTED_VALUE"""),51.0)</f>
        <v>51</v>
      </c>
      <c r="AB57" s="28">
        <f>IFERROR(__xludf.DUMMYFUNCTION("""COMPUTED_VALUE"""),54.0)</f>
        <v>54</v>
      </c>
      <c r="AC57" s="11"/>
      <c r="AD57" s="11"/>
      <c r="AE57" s="11"/>
      <c r="AF57" s="11"/>
      <c r="AG57" s="11"/>
      <c r="AH57" s="11"/>
      <c r="AI57" s="11"/>
      <c r="AO57" s="14"/>
      <c r="AP57" s="15"/>
      <c r="AQ57" s="15"/>
      <c r="AR57" s="15"/>
      <c r="AS57" s="15"/>
      <c r="AT57" s="15"/>
      <c r="AU57" s="15"/>
      <c r="AV57" s="15"/>
      <c r="AW57" s="15"/>
      <c r="AX57" s="15"/>
      <c r="AY57" s="15"/>
      <c r="AZ57" s="15"/>
      <c r="BA57" s="15"/>
      <c r="BB57" s="15"/>
      <c r="BC57" s="15"/>
      <c r="BD57" s="15"/>
      <c r="BE57" s="15"/>
      <c r="BF57" s="15"/>
      <c r="BG57" s="15"/>
      <c r="BH57" s="15"/>
      <c r="BI57" s="15"/>
      <c r="BJ57" s="15"/>
      <c r="BK57" s="15"/>
      <c r="BL57" s="15"/>
    </row>
    <row r="58">
      <c r="A58" s="21" t="s">
        <v>136</v>
      </c>
      <c r="B58" s="21" t="s">
        <v>137</v>
      </c>
      <c r="C58" s="22">
        <v>45143.0</v>
      </c>
      <c r="D58" s="22" t="str">
        <f t="shared" si="1"/>
        <v>08.2023</v>
      </c>
      <c r="E58" s="22">
        <v>45155.0</v>
      </c>
      <c r="F58" s="21" t="s">
        <v>38</v>
      </c>
      <c r="G58" s="23">
        <v>2.0</v>
      </c>
      <c r="H58" s="24">
        <v>20.0</v>
      </c>
      <c r="I58" s="24">
        <v>1.0</v>
      </c>
      <c r="J58" s="24">
        <v>18.0</v>
      </c>
      <c r="K58" s="21" t="s">
        <v>19</v>
      </c>
      <c r="L58" s="21" t="s">
        <v>16</v>
      </c>
      <c r="M58" s="24">
        <v>1.0</v>
      </c>
      <c r="X58" s="24">
        <f>IFERROR(__xludf.DUMMYFUNCTION("""COMPUTED_VALUE"""),49.0)</f>
        <v>49</v>
      </c>
      <c r="Y58" s="24">
        <f>IFERROR(__xludf.DUMMYFUNCTION("""COMPUTED_VALUE"""),43.0)</f>
        <v>43</v>
      </c>
      <c r="Z58" s="24">
        <f>IFERROR(__xludf.DUMMYFUNCTION("""COMPUTED_VALUE"""),33.0)</f>
        <v>33</v>
      </c>
      <c r="AA58" s="28">
        <f>IFERROR(__xludf.DUMMYFUNCTION("""COMPUTED_VALUE"""),22.0)</f>
        <v>22</v>
      </c>
      <c r="AB58" s="28">
        <f>IFERROR(__xludf.DUMMYFUNCTION("""COMPUTED_VALUE"""),24.0)</f>
        <v>24</v>
      </c>
      <c r="AC58" s="11"/>
      <c r="AD58" s="11"/>
      <c r="AE58" s="11"/>
      <c r="AF58" s="11"/>
      <c r="AG58" s="11"/>
      <c r="AH58" s="29" t="s">
        <v>1237</v>
      </c>
      <c r="AI58" s="11"/>
      <c r="AO58" s="14"/>
      <c r="AP58" s="15"/>
      <c r="AQ58" s="15"/>
      <c r="AR58" s="15"/>
      <c r="AS58" s="15"/>
      <c r="AT58" s="15"/>
      <c r="AU58" s="15"/>
      <c r="AV58" s="15"/>
      <c r="AW58" s="15"/>
      <c r="AX58" s="15"/>
      <c r="AY58" s="15"/>
      <c r="AZ58" s="15"/>
      <c r="BA58" s="15"/>
      <c r="BB58" s="15"/>
      <c r="BC58" s="15"/>
      <c r="BD58" s="15"/>
      <c r="BE58" s="15"/>
      <c r="BF58" s="15"/>
      <c r="BG58" s="15"/>
      <c r="BH58" s="15"/>
      <c r="BI58" s="15"/>
      <c r="BJ58" s="15"/>
      <c r="BK58" s="15"/>
      <c r="BL58" s="15"/>
    </row>
    <row r="59">
      <c r="A59" s="21" t="s">
        <v>138</v>
      </c>
      <c r="B59" s="21" t="s">
        <v>139</v>
      </c>
      <c r="C59" s="22">
        <v>45083.0</v>
      </c>
      <c r="D59" s="22" t="str">
        <f t="shared" si="1"/>
        <v>06.2023</v>
      </c>
      <c r="E59" s="22">
        <v>45095.0</v>
      </c>
      <c r="F59" s="21" t="s">
        <v>14</v>
      </c>
      <c r="G59" s="23">
        <v>1.8</v>
      </c>
      <c r="H59" s="24">
        <v>84.0</v>
      </c>
      <c r="I59" s="24">
        <v>0.0</v>
      </c>
      <c r="J59" s="24">
        <v>38.0</v>
      </c>
      <c r="K59" s="21" t="s">
        <v>23</v>
      </c>
      <c r="L59" s="21" t="s">
        <v>16</v>
      </c>
      <c r="M59" s="24">
        <v>1.0</v>
      </c>
      <c r="X59" s="24">
        <f>IFERROR(__xludf.DUMMYFUNCTION("""COMPUTED_VALUE"""),34.0)</f>
        <v>34</v>
      </c>
      <c r="Y59" s="24">
        <f>IFERROR(__xludf.DUMMYFUNCTION("""COMPUTED_VALUE"""),41.0)</f>
        <v>41</v>
      </c>
      <c r="Z59" s="24">
        <f>IFERROR(__xludf.DUMMYFUNCTION("""COMPUTED_VALUE"""),21.0)</f>
        <v>21</v>
      </c>
      <c r="AA59" s="28">
        <f>IFERROR(__xludf.DUMMYFUNCTION("""COMPUTED_VALUE"""),30.0)</f>
        <v>30</v>
      </c>
      <c r="AB59" s="28">
        <f>IFERROR(__xludf.DUMMYFUNCTION("""COMPUTED_VALUE"""),32.0)</f>
        <v>32</v>
      </c>
      <c r="AC59" s="11"/>
      <c r="AD59" s="11"/>
      <c r="AE59" s="11"/>
      <c r="AF59" s="11"/>
      <c r="AG59" s="11"/>
      <c r="AH59" s="75" t="s">
        <v>1285</v>
      </c>
      <c r="AI59" s="11"/>
      <c r="AO59" s="14"/>
      <c r="AP59" s="15"/>
      <c r="AQ59" s="15"/>
      <c r="AR59" s="15"/>
      <c r="AS59" s="15"/>
      <c r="AT59" s="15"/>
      <c r="AU59" s="15"/>
      <c r="AV59" s="15"/>
      <c r="AW59" s="15"/>
      <c r="AX59" s="15"/>
      <c r="AY59" s="15"/>
      <c r="AZ59" s="15"/>
      <c r="BA59" s="15"/>
      <c r="BB59" s="15"/>
      <c r="BC59" s="15"/>
      <c r="BD59" s="15"/>
      <c r="BE59" s="15"/>
      <c r="BF59" s="15"/>
      <c r="BG59" s="15"/>
      <c r="BH59" s="15"/>
      <c r="BI59" s="15"/>
      <c r="BJ59" s="15"/>
      <c r="BK59" s="15"/>
      <c r="BL59" s="15"/>
    </row>
    <row r="60">
      <c r="A60" s="21" t="s">
        <v>140</v>
      </c>
      <c r="B60" s="21" t="s">
        <v>141</v>
      </c>
      <c r="C60" s="22">
        <v>45223.0</v>
      </c>
      <c r="D60" s="22" t="str">
        <f t="shared" si="1"/>
        <v>10.2023</v>
      </c>
      <c r="E60" s="22">
        <v>45235.0</v>
      </c>
      <c r="F60" s="21" t="s">
        <v>29</v>
      </c>
      <c r="G60" s="23">
        <v>4.7</v>
      </c>
      <c r="H60" s="24">
        <v>45.0</v>
      </c>
      <c r="I60" s="24">
        <v>1.0</v>
      </c>
      <c r="J60" s="24">
        <v>32.0</v>
      </c>
      <c r="K60" s="21" t="s">
        <v>19</v>
      </c>
      <c r="L60" s="21" t="s">
        <v>26</v>
      </c>
      <c r="M60" s="24">
        <v>1.0</v>
      </c>
      <c r="X60" s="24">
        <f>IFERROR(__xludf.DUMMYFUNCTION("""COMPUTED_VALUE"""),44.0)</f>
        <v>44</v>
      </c>
      <c r="Y60" s="24">
        <f>IFERROR(__xludf.DUMMYFUNCTION("""COMPUTED_VALUE"""),56.0)</f>
        <v>56</v>
      </c>
      <c r="Z60" s="24">
        <f>IFERROR(__xludf.DUMMYFUNCTION("""COMPUTED_VALUE"""),17.0)</f>
        <v>17</v>
      </c>
      <c r="AA60" s="28">
        <f>IFERROR(__xludf.DUMMYFUNCTION("""COMPUTED_VALUE"""),15.0)</f>
        <v>15</v>
      </c>
      <c r="AB60" s="28">
        <f>IFERROR(__xludf.DUMMYFUNCTION("""COMPUTED_VALUE"""),39.0)</f>
        <v>39</v>
      </c>
      <c r="AC60" s="11"/>
      <c r="AD60" s="11"/>
      <c r="AE60" s="11"/>
      <c r="AF60" s="11"/>
      <c r="AG60" s="11"/>
      <c r="AH60" s="46"/>
      <c r="AI60" s="11"/>
      <c r="AO60" s="14"/>
      <c r="AP60" s="15"/>
      <c r="AQ60" s="15"/>
      <c r="AR60" s="15"/>
      <c r="AS60" s="15"/>
      <c r="AT60" s="15"/>
      <c r="AU60" s="15"/>
      <c r="AV60" s="15"/>
      <c r="AW60" s="15"/>
      <c r="AX60" s="15"/>
      <c r="AY60" s="15"/>
      <c r="AZ60" s="15"/>
      <c r="BA60" s="15"/>
      <c r="BB60" s="15"/>
      <c r="BC60" s="15"/>
      <c r="BD60" s="15"/>
      <c r="BE60" s="15"/>
      <c r="BF60" s="15"/>
      <c r="BG60" s="15"/>
      <c r="BH60" s="15"/>
      <c r="BI60" s="15"/>
      <c r="BJ60" s="15"/>
      <c r="BK60" s="15"/>
      <c r="BL60" s="15"/>
    </row>
    <row r="61">
      <c r="A61" s="21" t="s">
        <v>142</v>
      </c>
      <c r="B61" s="21" t="s">
        <v>143</v>
      </c>
      <c r="C61" s="22">
        <v>45128.0</v>
      </c>
      <c r="D61" s="22" t="str">
        <f t="shared" si="1"/>
        <v>07.2023</v>
      </c>
      <c r="E61" s="22">
        <v>45140.0</v>
      </c>
      <c r="F61" s="21" t="s">
        <v>14</v>
      </c>
      <c r="G61" s="23">
        <v>0.7</v>
      </c>
      <c r="H61" s="24">
        <v>90.0</v>
      </c>
      <c r="I61" s="24">
        <v>1.0</v>
      </c>
      <c r="J61" s="24">
        <v>26.0</v>
      </c>
      <c r="K61" s="21" t="s">
        <v>19</v>
      </c>
      <c r="L61" s="21" t="s">
        <v>26</v>
      </c>
      <c r="M61" s="24">
        <v>0.0</v>
      </c>
      <c r="X61" s="24">
        <f>IFERROR(__xludf.DUMMYFUNCTION("""COMPUTED_VALUE"""),27.0)</f>
        <v>27</v>
      </c>
      <c r="Y61" s="24">
        <f>IFERROR(__xludf.DUMMYFUNCTION("""COMPUTED_VALUE"""),25.0)</f>
        <v>25</v>
      </c>
      <c r="Z61" s="24">
        <f>IFERROR(__xludf.DUMMYFUNCTION("""COMPUTED_VALUE"""),26.0)</f>
        <v>26</v>
      </c>
      <c r="AA61" s="28">
        <f>IFERROR(__xludf.DUMMYFUNCTION("""COMPUTED_VALUE"""),55.0)</f>
        <v>55</v>
      </c>
      <c r="AB61" s="28">
        <f>IFERROR(__xludf.DUMMYFUNCTION("""COMPUTED_VALUE"""),27.0)</f>
        <v>27</v>
      </c>
      <c r="AC61" s="11"/>
      <c r="AD61" s="11"/>
      <c r="AE61" s="11"/>
      <c r="AF61" s="11"/>
      <c r="AG61" s="11"/>
      <c r="AH61" s="46"/>
      <c r="AI61" s="11"/>
      <c r="AO61" s="14"/>
      <c r="AP61" s="15"/>
      <c r="AQ61" s="15"/>
      <c r="AR61" s="15"/>
      <c r="AS61" s="15"/>
      <c r="AT61" s="15"/>
      <c r="AU61" s="15"/>
      <c r="AV61" s="15"/>
      <c r="AW61" s="15"/>
      <c r="AX61" s="15"/>
      <c r="AY61" s="15"/>
      <c r="AZ61" s="15"/>
      <c r="BA61" s="15"/>
      <c r="BB61" s="15"/>
      <c r="BC61" s="15"/>
      <c r="BD61" s="15"/>
      <c r="BE61" s="15"/>
      <c r="BF61" s="15"/>
      <c r="BG61" s="15"/>
      <c r="BH61" s="15"/>
      <c r="BI61" s="15"/>
      <c r="BJ61" s="15"/>
      <c r="BK61" s="15"/>
      <c r="BL61" s="15"/>
    </row>
    <row r="62">
      <c r="A62" s="21" t="s">
        <v>144</v>
      </c>
      <c r="B62" s="21" t="s">
        <v>145</v>
      </c>
      <c r="C62" s="22">
        <v>45185.0</v>
      </c>
      <c r="D62" s="22" t="str">
        <f t="shared" si="1"/>
        <v>09.2023</v>
      </c>
      <c r="E62" s="22">
        <v>45197.0</v>
      </c>
      <c r="F62" s="21" t="s">
        <v>22</v>
      </c>
      <c r="G62" s="23">
        <v>3.3</v>
      </c>
      <c r="H62" s="24">
        <v>9.0</v>
      </c>
      <c r="I62" s="24">
        <v>0.0</v>
      </c>
      <c r="J62" s="24">
        <v>36.0</v>
      </c>
      <c r="K62" s="21" t="s">
        <v>23</v>
      </c>
      <c r="L62" s="21" t="s">
        <v>26</v>
      </c>
      <c r="M62" s="24">
        <v>1.0</v>
      </c>
      <c r="X62" s="24">
        <f>IFERROR(__xludf.DUMMYFUNCTION("""COMPUTED_VALUE"""),32.0)</f>
        <v>32</v>
      </c>
      <c r="Y62" s="24">
        <f>IFERROR(__xludf.DUMMYFUNCTION("""COMPUTED_VALUE"""),49.0)</f>
        <v>49</v>
      </c>
      <c r="Z62" s="24">
        <f>IFERROR(__xludf.DUMMYFUNCTION("""COMPUTED_VALUE"""),29.0)</f>
        <v>29</v>
      </c>
      <c r="AA62" s="28">
        <f>IFERROR(__xludf.DUMMYFUNCTION("""COMPUTED_VALUE"""),29.0)</f>
        <v>29</v>
      </c>
      <c r="AB62" s="28">
        <f>IFERROR(__xludf.DUMMYFUNCTION("""COMPUTED_VALUE"""),23.0)</f>
        <v>23</v>
      </c>
      <c r="AC62" s="11"/>
      <c r="AD62" s="11"/>
      <c r="AE62" s="11"/>
      <c r="AF62" s="11"/>
      <c r="AG62" s="11"/>
      <c r="AH62" s="46"/>
      <c r="AI62" s="11"/>
      <c r="AO62" s="14"/>
      <c r="AP62" s="15"/>
      <c r="AQ62" s="15"/>
      <c r="AR62" s="15"/>
      <c r="AS62" s="15"/>
      <c r="AT62" s="15"/>
      <c r="AU62" s="15"/>
      <c r="AV62" s="15"/>
      <c r="AW62" s="15"/>
      <c r="AX62" s="15"/>
      <c r="AY62" s="15"/>
      <c r="AZ62" s="15"/>
      <c r="BA62" s="15"/>
      <c r="BB62" s="15"/>
      <c r="BC62" s="15"/>
      <c r="BD62" s="15"/>
      <c r="BE62" s="15"/>
      <c r="BF62" s="15"/>
      <c r="BG62" s="15"/>
      <c r="BH62" s="15"/>
      <c r="BI62" s="15"/>
      <c r="BJ62" s="15"/>
      <c r="BK62" s="15"/>
      <c r="BL62" s="15"/>
    </row>
    <row r="63">
      <c r="A63" s="21" t="s">
        <v>146</v>
      </c>
      <c r="B63" s="21" t="s">
        <v>147</v>
      </c>
      <c r="C63" s="22">
        <v>44986.0</v>
      </c>
      <c r="D63" s="22" t="str">
        <f t="shared" si="1"/>
        <v>03.2023</v>
      </c>
      <c r="E63" s="22">
        <v>44998.0</v>
      </c>
      <c r="F63" s="21" t="s">
        <v>38</v>
      </c>
      <c r="G63" s="23">
        <v>2.9</v>
      </c>
      <c r="H63" s="24">
        <v>67.0</v>
      </c>
      <c r="I63" s="24">
        <v>1.0</v>
      </c>
      <c r="J63" s="24">
        <v>14.0</v>
      </c>
      <c r="K63" s="21" t="s">
        <v>19</v>
      </c>
      <c r="L63" s="21" t="s">
        <v>26</v>
      </c>
      <c r="M63" s="24">
        <v>1.0</v>
      </c>
      <c r="X63" s="24">
        <f>IFERROR(__xludf.DUMMYFUNCTION("""COMPUTED_VALUE"""),12.0)</f>
        <v>12</v>
      </c>
      <c r="Y63" s="24">
        <f>IFERROR(__xludf.DUMMYFUNCTION("""COMPUTED_VALUE"""),38.0)</f>
        <v>38</v>
      </c>
      <c r="Z63" s="24">
        <f>IFERROR(__xludf.DUMMYFUNCTION("""COMPUTED_VALUE"""),44.0)</f>
        <v>44</v>
      </c>
      <c r="AA63" s="28">
        <f>IFERROR(__xludf.DUMMYFUNCTION("""COMPUTED_VALUE"""),14.0)</f>
        <v>14</v>
      </c>
      <c r="AB63" s="28">
        <f>IFERROR(__xludf.DUMMYFUNCTION("""COMPUTED_VALUE"""),53.0)</f>
        <v>53</v>
      </c>
      <c r="AC63" s="11"/>
      <c r="AD63" s="11"/>
      <c r="AE63" s="11"/>
      <c r="AF63" s="11"/>
      <c r="AG63" s="11"/>
      <c r="AH63" s="46"/>
      <c r="AI63" s="11"/>
      <c r="AO63" s="14"/>
      <c r="AP63" s="15"/>
      <c r="AQ63" s="15"/>
      <c r="AR63" s="15"/>
      <c r="AS63" s="15"/>
      <c r="AT63" s="15"/>
      <c r="AU63" s="15"/>
      <c r="AV63" s="15"/>
      <c r="AW63" s="15"/>
      <c r="AX63" s="15"/>
      <c r="AY63" s="15"/>
      <c r="AZ63" s="15"/>
      <c r="BA63" s="15"/>
      <c r="BB63" s="15"/>
      <c r="BC63" s="15"/>
      <c r="BD63" s="15"/>
      <c r="BE63" s="15"/>
      <c r="BF63" s="15"/>
      <c r="BG63" s="15"/>
      <c r="BH63" s="15"/>
      <c r="BI63" s="15"/>
      <c r="BJ63" s="15"/>
      <c r="BK63" s="15"/>
      <c r="BL63" s="15"/>
    </row>
    <row r="64">
      <c r="A64" s="21" t="s">
        <v>148</v>
      </c>
      <c r="B64" s="21" t="s">
        <v>149</v>
      </c>
      <c r="C64" s="22">
        <v>45193.0</v>
      </c>
      <c r="D64" s="22" t="str">
        <f t="shared" si="1"/>
        <v>09.2023</v>
      </c>
      <c r="E64" s="22">
        <v>45205.0</v>
      </c>
      <c r="F64" s="21" t="s">
        <v>14</v>
      </c>
      <c r="G64" s="23">
        <v>1.0</v>
      </c>
      <c r="H64" s="24">
        <v>22.0</v>
      </c>
      <c r="I64" s="24">
        <v>1.0</v>
      </c>
      <c r="J64" s="24">
        <v>19.0</v>
      </c>
      <c r="K64" s="21" t="s">
        <v>19</v>
      </c>
      <c r="L64" s="21" t="s">
        <v>47</v>
      </c>
      <c r="M64" s="24">
        <v>1.0</v>
      </c>
      <c r="X64" s="24">
        <f>IFERROR(__xludf.DUMMYFUNCTION("""COMPUTED_VALUE"""),17.0)</f>
        <v>17</v>
      </c>
      <c r="Y64" s="24">
        <f>IFERROR(__xludf.DUMMYFUNCTION("""COMPUTED_VALUE"""),50.0)</f>
        <v>50</v>
      </c>
      <c r="Z64" s="24">
        <f>IFERROR(__xludf.DUMMYFUNCTION("""COMPUTED_VALUE"""),46.0)</f>
        <v>46</v>
      </c>
      <c r="AA64" s="28">
        <f>IFERROR(__xludf.DUMMYFUNCTION("""COMPUTED_VALUE"""),54.0)</f>
        <v>54</v>
      </c>
      <c r="AB64" s="28">
        <f>IFERROR(__xludf.DUMMYFUNCTION("""COMPUTED_VALUE"""),14.0)</f>
        <v>14</v>
      </c>
      <c r="AC64" s="11"/>
      <c r="AD64" s="11"/>
      <c r="AE64" s="11"/>
      <c r="AF64" s="11"/>
      <c r="AG64" s="11"/>
      <c r="AH64" s="46"/>
      <c r="AI64" s="11"/>
      <c r="AO64" s="14"/>
      <c r="AP64" s="15"/>
      <c r="AQ64" s="15"/>
      <c r="AR64" s="15"/>
      <c r="AS64" s="15"/>
      <c r="AT64" s="15"/>
      <c r="AU64" s="15"/>
      <c r="AV64" s="15"/>
      <c r="AW64" s="15"/>
      <c r="AX64" s="15"/>
      <c r="AY64" s="15"/>
      <c r="AZ64" s="15"/>
      <c r="BA64" s="15"/>
      <c r="BB64" s="15"/>
      <c r="BC64" s="15"/>
      <c r="BD64" s="15"/>
      <c r="BE64" s="15"/>
      <c r="BF64" s="15"/>
      <c r="BG64" s="15"/>
      <c r="BH64" s="15"/>
      <c r="BI64" s="15"/>
      <c r="BJ64" s="15"/>
      <c r="BK64" s="15"/>
      <c r="BL64" s="15"/>
    </row>
    <row r="65">
      <c r="A65" s="21" t="s">
        <v>150</v>
      </c>
      <c r="B65" s="21" t="s">
        <v>151</v>
      </c>
      <c r="C65" s="22">
        <v>45128.0</v>
      </c>
      <c r="D65" s="22" t="str">
        <f t="shared" si="1"/>
        <v>07.2023</v>
      </c>
      <c r="E65" s="22">
        <v>45140.0</v>
      </c>
      <c r="F65" s="21" t="s">
        <v>29</v>
      </c>
      <c r="G65" s="23">
        <v>4.0</v>
      </c>
      <c r="H65" s="24">
        <v>83.0</v>
      </c>
      <c r="I65" s="24">
        <v>1.0</v>
      </c>
      <c r="J65" s="24">
        <v>13.0</v>
      </c>
      <c r="K65" s="21" t="s">
        <v>15</v>
      </c>
      <c r="L65" s="21" t="s">
        <v>47</v>
      </c>
      <c r="M65" s="24">
        <v>0.0</v>
      </c>
      <c r="X65" s="24">
        <f>IFERROR(__xludf.DUMMYFUNCTION("""COMPUTED_VALUE"""),26.0)</f>
        <v>26</v>
      </c>
      <c r="Y65" s="24">
        <f>IFERROR(__xludf.DUMMYFUNCTION("""COMPUTED_VALUE"""),37.0)</f>
        <v>37</v>
      </c>
      <c r="Z65" s="24">
        <f>IFERROR(__xludf.DUMMYFUNCTION("""COMPUTED_VALUE"""),40.0)</f>
        <v>40</v>
      </c>
      <c r="AA65" s="28">
        <f>IFERROR(__xludf.DUMMYFUNCTION("""COMPUTED_VALUE"""),21.0)</f>
        <v>21</v>
      </c>
      <c r="AB65" s="28">
        <f>IFERROR(__xludf.DUMMYFUNCTION("""COMPUTED_VALUE"""),15.0)</f>
        <v>15</v>
      </c>
      <c r="AC65" s="11"/>
      <c r="AD65" s="11"/>
      <c r="AE65" s="11"/>
      <c r="AF65" s="11"/>
      <c r="AG65" s="11"/>
      <c r="AH65" s="46"/>
      <c r="AI65" s="11"/>
      <c r="AO65" s="14"/>
      <c r="AP65" s="15"/>
      <c r="AQ65" s="15"/>
      <c r="AR65" s="15"/>
      <c r="AS65" s="15"/>
      <c r="AT65" s="15"/>
      <c r="AU65" s="15"/>
      <c r="AV65" s="15"/>
      <c r="AW65" s="15"/>
      <c r="AX65" s="15"/>
      <c r="AY65" s="15"/>
      <c r="AZ65" s="15"/>
      <c r="BA65" s="15"/>
      <c r="BB65" s="15"/>
      <c r="BC65" s="15"/>
      <c r="BD65" s="15"/>
      <c r="BE65" s="15"/>
      <c r="BF65" s="15"/>
      <c r="BG65" s="15"/>
      <c r="BH65" s="15"/>
      <c r="BI65" s="15"/>
      <c r="BJ65" s="15"/>
      <c r="BK65" s="15"/>
      <c r="BL65" s="15"/>
    </row>
    <row r="66">
      <c r="A66" s="21" t="s">
        <v>152</v>
      </c>
      <c r="B66" s="21" t="s">
        <v>153</v>
      </c>
      <c r="C66" s="22">
        <v>45054.0</v>
      </c>
      <c r="D66" s="22" t="str">
        <f t="shared" si="1"/>
        <v>05.2023</v>
      </c>
      <c r="E66" s="22">
        <v>45066.0</v>
      </c>
      <c r="F66" s="21" t="s">
        <v>29</v>
      </c>
      <c r="G66" s="23">
        <v>3.5</v>
      </c>
      <c r="H66" s="24">
        <v>53.0</v>
      </c>
      <c r="I66" s="24">
        <v>1.0</v>
      </c>
      <c r="J66" s="24">
        <v>28.0</v>
      </c>
      <c r="K66" s="21" t="s">
        <v>19</v>
      </c>
      <c r="L66" s="21" t="s">
        <v>26</v>
      </c>
      <c r="M66" s="24">
        <v>1.0</v>
      </c>
      <c r="X66" s="24">
        <f>IFERROR(__xludf.DUMMYFUNCTION("""COMPUTED_VALUE"""),47.0)</f>
        <v>47</v>
      </c>
      <c r="Y66" s="24">
        <f>IFERROR(__xludf.DUMMYFUNCTION("""COMPUTED_VALUE"""),54.0)</f>
        <v>54</v>
      </c>
      <c r="Z66" s="24">
        <f>IFERROR(__xludf.DUMMYFUNCTION("""COMPUTED_VALUE"""),24.0)</f>
        <v>24</v>
      </c>
      <c r="AA66" s="28">
        <f>IFERROR(__xludf.DUMMYFUNCTION("""COMPUTED_VALUE"""),36.0)</f>
        <v>36</v>
      </c>
      <c r="AB66" s="28">
        <f>IFERROR(__xludf.DUMMYFUNCTION("""COMPUTED_VALUE"""),41.0)</f>
        <v>41</v>
      </c>
      <c r="AC66" s="11"/>
      <c r="AD66" s="11"/>
      <c r="AE66" s="11"/>
      <c r="AF66" s="11"/>
      <c r="AG66" s="11"/>
      <c r="AH66" s="60"/>
      <c r="AI66" s="11"/>
      <c r="AO66" s="14"/>
      <c r="AP66" s="15"/>
      <c r="AQ66" s="15"/>
      <c r="AR66" s="15"/>
      <c r="AS66" s="15"/>
      <c r="AT66" s="15"/>
      <c r="AU66" s="15"/>
      <c r="AV66" s="15"/>
      <c r="AW66" s="15"/>
      <c r="AX66" s="15"/>
      <c r="AY66" s="15"/>
      <c r="AZ66" s="15"/>
      <c r="BA66" s="15"/>
      <c r="BB66" s="15"/>
      <c r="BC66" s="15"/>
      <c r="BD66" s="15"/>
      <c r="BE66" s="15"/>
      <c r="BF66" s="15"/>
      <c r="BG66" s="15"/>
      <c r="BH66" s="15"/>
      <c r="BI66" s="15"/>
      <c r="BJ66" s="15"/>
      <c r="BK66" s="15"/>
      <c r="BL66" s="15"/>
    </row>
    <row r="67">
      <c r="A67" s="21" t="s">
        <v>154</v>
      </c>
      <c r="B67" s="21" t="s">
        <v>155</v>
      </c>
      <c r="C67" s="22">
        <v>45017.0</v>
      </c>
      <c r="D67" s="22" t="str">
        <f t="shared" si="1"/>
        <v>04.2023</v>
      </c>
      <c r="E67" s="22">
        <v>45029.0</v>
      </c>
      <c r="F67" s="21" t="s">
        <v>38</v>
      </c>
      <c r="G67" s="23">
        <v>2.7</v>
      </c>
      <c r="H67" s="24">
        <v>18.0</v>
      </c>
      <c r="I67" s="24">
        <v>1.0</v>
      </c>
      <c r="J67" s="24">
        <v>46.0</v>
      </c>
      <c r="K67" s="21" t="s">
        <v>15</v>
      </c>
      <c r="L67" s="21" t="s">
        <v>16</v>
      </c>
      <c r="M67" s="24">
        <v>1.0</v>
      </c>
      <c r="X67" s="24">
        <f>IFERROR(__xludf.DUMMYFUNCTION("""COMPUTED_VALUE"""),28.0)</f>
        <v>28</v>
      </c>
      <c r="Y67" s="24">
        <f>IFERROR(__xludf.DUMMYFUNCTION("""COMPUTED_VALUE"""),56.0)</f>
        <v>56</v>
      </c>
      <c r="Z67" s="24">
        <f>IFERROR(__xludf.DUMMYFUNCTION("""COMPUTED_VALUE"""),26.0)</f>
        <v>26</v>
      </c>
      <c r="AA67" s="28">
        <f>IFERROR(__xludf.DUMMYFUNCTION("""COMPUTED_VALUE"""),20.0)</f>
        <v>20</v>
      </c>
      <c r="AB67" s="28">
        <f>IFERROR(__xludf.DUMMYFUNCTION("""COMPUTED_VALUE"""),51.0)</f>
        <v>51</v>
      </c>
      <c r="AC67" s="11"/>
      <c r="AD67" s="11"/>
      <c r="AE67" s="11"/>
      <c r="AF67" s="11"/>
      <c r="AG67" s="11"/>
      <c r="AH67" s="10"/>
      <c r="AI67" s="11"/>
      <c r="AO67" s="14"/>
      <c r="AP67" s="15"/>
      <c r="AQ67" s="15"/>
      <c r="AR67" s="15"/>
      <c r="AS67" s="15"/>
      <c r="AT67" s="15"/>
      <c r="AU67" s="15"/>
      <c r="AV67" s="15"/>
      <c r="AW67" s="15"/>
      <c r="AX67" s="15"/>
      <c r="AY67" s="15"/>
      <c r="AZ67" s="15"/>
      <c r="BA67" s="15"/>
      <c r="BB67" s="15"/>
      <c r="BC67" s="15"/>
      <c r="BD67" s="15"/>
      <c r="BE67" s="15"/>
      <c r="BF67" s="15"/>
      <c r="BG67" s="15"/>
      <c r="BH67" s="15"/>
      <c r="BI67" s="15"/>
      <c r="BJ67" s="15"/>
      <c r="BK67" s="15"/>
      <c r="BL67" s="15"/>
    </row>
    <row r="68">
      <c r="A68" s="21" t="s">
        <v>156</v>
      </c>
      <c r="B68" s="21" t="s">
        <v>157</v>
      </c>
      <c r="C68" s="22">
        <v>45034.0</v>
      </c>
      <c r="D68" s="22" t="str">
        <f t="shared" si="1"/>
        <v>04.2023</v>
      </c>
      <c r="E68" s="22">
        <v>45046.0</v>
      </c>
      <c r="F68" s="21" t="s">
        <v>29</v>
      </c>
      <c r="G68" s="23">
        <v>3.0</v>
      </c>
      <c r="H68" s="24">
        <v>88.0</v>
      </c>
      <c r="I68" s="24">
        <v>1.0</v>
      </c>
      <c r="J68" s="24">
        <v>55.0</v>
      </c>
      <c r="K68" s="21" t="s">
        <v>23</v>
      </c>
      <c r="L68" s="21" t="s">
        <v>16</v>
      </c>
      <c r="M68" s="24">
        <v>1.0</v>
      </c>
      <c r="X68" s="24">
        <f>IFERROR(__xludf.DUMMYFUNCTION("""COMPUTED_VALUE"""),19.0)</f>
        <v>19</v>
      </c>
      <c r="Y68" s="24">
        <f>IFERROR(__xludf.DUMMYFUNCTION("""COMPUTED_VALUE"""),44.0)</f>
        <v>44</v>
      </c>
      <c r="Z68" s="24">
        <f>IFERROR(__xludf.DUMMYFUNCTION("""COMPUTED_VALUE"""),30.0)</f>
        <v>30</v>
      </c>
      <c r="AA68" s="28">
        <f>IFERROR(__xludf.DUMMYFUNCTION("""COMPUTED_VALUE"""),45.0)</f>
        <v>45</v>
      </c>
      <c r="AB68" s="28">
        <f>IFERROR(__xludf.DUMMYFUNCTION("""COMPUTED_VALUE"""),18.0)</f>
        <v>18</v>
      </c>
      <c r="AC68" s="11"/>
      <c r="AD68" s="11"/>
      <c r="AE68" s="11"/>
      <c r="AF68" s="11"/>
      <c r="AG68" s="11"/>
      <c r="AH68" s="11"/>
      <c r="AI68" s="11"/>
      <c r="AJ68" s="11"/>
      <c r="AK68" s="11"/>
      <c r="AL68" s="11"/>
      <c r="AM68" s="11"/>
      <c r="AN68" s="11"/>
      <c r="AO68" s="14"/>
      <c r="AP68" s="15"/>
      <c r="AQ68" s="15"/>
      <c r="AR68" s="15"/>
      <c r="AS68" s="15"/>
      <c r="AT68" s="15"/>
      <c r="AU68" s="15"/>
      <c r="AV68" s="15"/>
      <c r="AW68" s="15"/>
      <c r="AX68" s="15"/>
      <c r="AY68" s="15"/>
      <c r="AZ68" s="15"/>
      <c r="BA68" s="15"/>
      <c r="BB68" s="15"/>
      <c r="BC68" s="15"/>
      <c r="BD68" s="15"/>
      <c r="BE68" s="15"/>
      <c r="BF68" s="15"/>
      <c r="BG68" s="15"/>
      <c r="BH68" s="15"/>
      <c r="BI68" s="15"/>
      <c r="BJ68" s="15"/>
      <c r="BK68" s="15"/>
      <c r="BL68" s="15"/>
    </row>
    <row r="69">
      <c r="A69" s="21" t="s">
        <v>158</v>
      </c>
      <c r="B69" s="21" t="s">
        <v>159</v>
      </c>
      <c r="C69" s="22">
        <v>45180.0</v>
      </c>
      <c r="D69" s="22" t="str">
        <f t="shared" si="1"/>
        <v>09.2023</v>
      </c>
      <c r="E69" s="22">
        <v>45192.0</v>
      </c>
      <c r="F69" s="21" t="s">
        <v>14</v>
      </c>
      <c r="G69" s="23">
        <v>2.8</v>
      </c>
      <c r="H69" s="24">
        <v>42.0</v>
      </c>
      <c r="I69" s="24">
        <v>1.0</v>
      </c>
      <c r="J69" s="24">
        <v>23.0</v>
      </c>
      <c r="K69" s="21" t="s">
        <v>23</v>
      </c>
      <c r="L69" s="21" t="s">
        <v>16</v>
      </c>
      <c r="M69" s="24">
        <v>0.0</v>
      </c>
      <c r="X69" s="24">
        <f>IFERROR(__xludf.DUMMYFUNCTION("""COMPUTED_VALUE"""),16.0)</f>
        <v>16</v>
      </c>
      <c r="Y69" s="24">
        <f>IFERROR(__xludf.DUMMYFUNCTION("""COMPUTED_VALUE"""),33.0)</f>
        <v>33</v>
      </c>
      <c r="Z69" s="24">
        <f>IFERROR(__xludf.DUMMYFUNCTION("""COMPUTED_VALUE"""),13.0)</f>
        <v>13</v>
      </c>
      <c r="AA69" s="28">
        <f>IFERROR(__xludf.DUMMYFUNCTION("""COMPUTED_VALUE"""),22.0)</f>
        <v>22</v>
      </c>
      <c r="AB69" s="28">
        <f>IFERROR(__xludf.DUMMYFUNCTION("""COMPUTED_VALUE"""),43.0)</f>
        <v>43</v>
      </c>
      <c r="AC69" s="11"/>
      <c r="AD69" s="11"/>
      <c r="AE69" s="11"/>
      <c r="AF69" s="11"/>
      <c r="AG69" s="11"/>
      <c r="AH69" s="11"/>
      <c r="AI69" s="11"/>
      <c r="AJ69" s="11"/>
      <c r="AK69" s="11"/>
      <c r="AL69" s="11"/>
      <c r="AM69" s="11"/>
      <c r="AN69" s="11"/>
      <c r="AO69" s="14"/>
      <c r="AP69" s="15"/>
      <c r="AQ69" s="15"/>
      <c r="AR69" s="15"/>
      <c r="AS69" s="15"/>
      <c r="AT69" s="15"/>
      <c r="AU69" s="15"/>
      <c r="AV69" s="15"/>
      <c r="AW69" s="15"/>
      <c r="AX69" s="15"/>
      <c r="AY69" s="15"/>
      <c r="AZ69" s="15"/>
      <c r="BA69" s="15"/>
      <c r="BB69" s="15"/>
      <c r="BC69" s="15"/>
      <c r="BD69" s="15"/>
      <c r="BE69" s="15"/>
      <c r="BF69" s="15"/>
      <c r="BG69" s="15"/>
      <c r="BH69" s="15"/>
      <c r="BI69" s="15"/>
      <c r="BJ69" s="15"/>
      <c r="BK69" s="15"/>
      <c r="BL69" s="15"/>
    </row>
    <row r="70">
      <c r="A70" s="21" t="s">
        <v>160</v>
      </c>
      <c r="B70" s="21" t="s">
        <v>161</v>
      </c>
      <c r="C70" s="22">
        <v>45191.0</v>
      </c>
      <c r="D70" s="22" t="str">
        <f t="shared" si="1"/>
        <v>09.2023</v>
      </c>
      <c r="E70" s="22">
        <v>45203.0</v>
      </c>
      <c r="F70" s="21" t="s">
        <v>22</v>
      </c>
      <c r="G70" s="23">
        <v>2.4</v>
      </c>
      <c r="H70" s="24">
        <v>33.0</v>
      </c>
      <c r="I70" s="24">
        <v>1.0</v>
      </c>
      <c r="J70" s="24">
        <v>54.0</v>
      </c>
      <c r="K70" s="21" t="s">
        <v>35</v>
      </c>
      <c r="L70" s="21" t="s">
        <v>16</v>
      </c>
      <c r="M70" s="24">
        <v>0.0</v>
      </c>
      <c r="X70" s="24">
        <f>IFERROR(__xludf.DUMMYFUNCTION("""COMPUTED_VALUE"""),20.0)</f>
        <v>20</v>
      </c>
      <c r="Y70" s="24">
        <f>IFERROR(__xludf.DUMMYFUNCTION("""COMPUTED_VALUE"""),23.0)</f>
        <v>23</v>
      </c>
      <c r="Z70" s="24">
        <f>IFERROR(__xludf.DUMMYFUNCTION("""COMPUTED_VALUE"""),40.0)</f>
        <v>40</v>
      </c>
      <c r="AA70" s="28">
        <f>IFERROR(__xludf.DUMMYFUNCTION("""COMPUTED_VALUE"""),33.0)</f>
        <v>33</v>
      </c>
      <c r="AB70" s="28">
        <f>IFERROR(__xludf.DUMMYFUNCTION("""COMPUTED_VALUE"""),31.0)</f>
        <v>31</v>
      </c>
      <c r="AC70" s="11"/>
      <c r="AD70" s="11"/>
      <c r="AE70" s="11"/>
      <c r="AF70" s="11"/>
      <c r="AG70" s="11"/>
      <c r="AH70" s="61" t="s">
        <v>1279</v>
      </c>
      <c r="AI70" s="62"/>
      <c r="AJ70" s="63"/>
      <c r="AK70" s="11"/>
      <c r="AL70" s="11"/>
      <c r="AM70" s="11"/>
      <c r="AN70" s="11"/>
      <c r="AO70" s="11"/>
    </row>
    <row r="71">
      <c r="A71" s="21" t="s">
        <v>162</v>
      </c>
      <c r="B71" s="21" t="s">
        <v>163</v>
      </c>
      <c r="C71" s="22">
        <v>45220.0</v>
      </c>
      <c r="D71" s="22" t="str">
        <f t="shared" si="1"/>
        <v>10.2023</v>
      </c>
      <c r="E71" s="22">
        <v>45232.0</v>
      </c>
      <c r="F71" s="21" t="s">
        <v>22</v>
      </c>
      <c r="G71" s="23">
        <v>4.2</v>
      </c>
      <c r="H71" s="24">
        <v>99.0</v>
      </c>
      <c r="I71" s="24">
        <v>0.0</v>
      </c>
      <c r="J71" s="24">
        <v>33.0</v>
      </c>
      <c r="K71" s="21" t="s">
        <v>32</v>
      </c>
      <c r="L71" s="21" t="s">
        <v>16</v>
      </c>
      <c r="M71" s="24">
        <v>1.0</v>
      </c>
      <c r="X71" s="24">
        <f>IFERROR(__xludf.DUMMYFUNCTION("""COMPUTED_VALUE"""),42.0)</f>
        <v>42</v>
      </c>
      <c r="Y71" s="24">
        <f>IFERROR(__xludf.DUMMYFUNCTION("""COMPUTED_VALUE"""),14.0)</f>
        <v>14</v>
      </c>
      <c r="Z71" s="24">
        <f>IFERROR(__xludf.DUMMYFUNCTION("""COMPUTED_VALUE"""),46.0)</f>
        <v>46</v>
      </c>
      <c r="AA71" s="28">
        <f>IFERROR(__xludf.DUMMYFUNCTION("""COMPUTED_VALUE"""),21.0)</f>
        <v>21</v>
      </c>
      <c r="AB71" s="28">
        <f>IFERROR(__xludf.DUMMYFUNCTION("""COMPUTED_VALUE"""),52.0)</f>
        <v>52</v>
      </c>
      <c r="AC71" s="11"/>
      <c r="AD71" s="11"/>
      <c r="AE71" s="11"/>
      <c r="AF71" s="11"/>
      <c r="AG71" s="11"/>
      <c r="AH71" s="65" t="s">
        <v>1286</v>
      </c>
      <c r="AJ71" s="66"/>
      <c r="AK71" s="11"/>
      <c r="AL71" s="11"/>
      <c r="AM71" s="11"/>
      <c r="AN71" s="11"/>
      <c r="AO71" s="11"/>
    </row>
    <row r="72">
      <c r="A72" s="21" t="s">
        <v>164</v>
      </c>
      <c r="B72" s="21" t="s">
        <v>165</v>
      </c>
      <c r="C72" s="22">
        <v>45153.0</v>
      </c>
      <c r="D72" s="22" t="str">
        <f t="shared" si="1"/>
        <v>08.2023</v>
      </c>
      <c r="E72" s="22">
        <v>45165.0</v>
      </c>
      <c r="F72" s="21" t="s">
        <v>14</v>
      </c>
      <c r="G72" s="23">
        <v>2.5</v>
      </c>
      <c r="H72" s="24">
        <v>19.0</v>
      </c>
      <c r="I72" s="24">
        <v>1.0</v>
      </c>
      <c r="J72" s="24">
        <v>41.0</v>
      </c>
      <c r="K72" s="21" t="s">
        <v>15</v>
      </c>
      <c r="L72" s="21" t="s">
        <v>26</v>
      </c>
      <c r="M72" s="24">
        <v>1.0</v>
      </c>
      <c r="X72" s="24">
        <f>IFERROR(__xludf.DUMMYFUNCTION("""COMPUTED_VALUE"""),46.0)</f>
        <v>46</v>
      </c>
      <c r="Y72" s="24">
        <f>IFERROR(__xludf.DUMMYFUNCTION("""COMPUTED_VALUE"""),27.0)</f>
        <v>27</v>
      </c>
      <c r="Z72" s="24">
        <f>IFERROR(__xludf.DUMMYFUNCTION("""COMPUTED_VALUE"""),41.0)</f>
        <v>41</v>
      </c>
      <c r="AA72" s="28">
        <f>IFERROR(__xludf.DUMMYFUNCTION("""COMPUTED_VALUE"""),28.0)</f>
        <v>28</v>
      </c>
      <c r="AB72" s="28">
        <f>IFERROR(__xludf.DUMMYFUNCTION("""COMPUTED_VALUE"""),47.0)</f>
        <v>47</v>
      </c>
      <c r="AC72" s="11"/>
      <c r="AD72" s="11"/>
      <c r="AE72" s="11"/>
      <c r="AF72" s="11"/>
      <c r="AG72" s="11"/>
      <c r="AH72" s="68"/>
      <c r="AJ72" s="66"/>
      <c r="AK72" s="11"/>
      <c r="AL72" s="11"/>
      <c r="AM72" s="11"/>
      <c r="AN72" s="11"/>
      <c r="AO72" s="11"/>
    </row>
    <row r="73">
      <c r="A73" s="21" t="s">
        <v>166</v>
      </c>
      <c r="B73" s="21" t="s">
        <v>167</v>
      </c>
      <c r="C73" s="22">
        <v>45173.0</v>
      </c>
      <c r="D73" s="22" t="str">
        <f t="shared" si="1"/>
        <v>09.2023</v>
      </c>
      <c r="E73" s="22">
        <v>45185.0</v>
      </c>
      <c r="F73" s="21" t="s">
        <v>22</v>
      </c>
      <c r="G73" s="23">
        <v>2.2</v>
      </c>
      <c r="H73" s="24">
        <v>100.0</v>
      </c>
      <c r="I73" s="24">
        <v>1.0</v>
      </c>
      <c r="J73" s="24">
        <v>48.0</v>
      </c>
      <c r="K73" s="21" t="s">
        <v>35</v>
      </c>
      <c r="L73" s="21" t="s">
        <v>16</v>
      </c>
      <c r="M73" s="24">
        <v>0.0</v>
      </c>
      <c r="X73" s="24">
        <f>IFERROR(__xludf.DUMMYFUNCTION("""COMPUTED_VALUE"""),30.0)</f>
        <v>30</v>
      </c>
      <c r="Y73" s="24">
        <f>IFERROR(__xludf.DUMMYFUNCTION("""COMPUTED_VALUE"""),49.0)</f>
        <v>49</v>
      </c>
      <c r="Z73" s="24">
        <f>IFERROR(__xludf.DUMMYFUNCTION("""COMPUTED_VALUE"""),17.0)</f>
        <v>17</v>
      </c>
      <c r="AA73" s="28">
        <f>IFERROR(__xludf.DUMMYFUNCTION("""COMPUTED_VALUE"""),22.0)</f>
        <v>22</v>
      </c>
      <c r="AB73" s="28">
        <f>IFERROR(__xludf.DUMMYFUNCTION("""COMPUTED_VALUE"""),38.0)</f>
        <v>38</v>
      </c>
      <c r="AC73" s="11"/>
      <c r="AD73" s="11"/>
      <c r="AE73" s="11"/>
      <c r="AF73" s="11"/>
      <c r="AG73" s="11"/>
      <c r="AH73" s="68"/>
      <c r="AJ73" s="66"/>
      <c r="AK73" s="11"/>
      <c r="AL73" s="11"/>
      <c r="AM73" s="11"/>
      <c r="AN73" s="11"/>
      <c r="AO73" s="11"/>
    </row>
    <row r="74">
      <c r="A74" s="21" t="s">
        <v>168</v>
      </c>
      <c r="B74" s="21" t="s">
        <v>169</v>
      </c>
      <c r="C74" s="22">
        <v>45029.0</v>
      </c>
      <c r="D74" s="22" t="str">
        <f t="shared" si="1"/>
        <v>04.2023</v>
      </c>
      <c r="E74" s="22">
        <v>45041.0</v>
      </c>
      <c r="F74" s="21" t="s">
        <v>29</v>
      </c>
      <c r="G74" s="23">
        <v>4.6</v>
      </c>
      <c r="H74" s="24">
        <v>79.0</v>
      </c>
      <c r="I74" s="24">
        <v>1.0</v>
      </c>
      <c r="J74" s="24">
        <v>17.0</v>
      </c>
      <c r="K74" s="21" t="s">
        <v>35</v>
      </c>
      <c r="L74" s="21" t="s">
        <v>16</v>
      </c>
      <c r="M74" s="24">
        <v>0.0</v>
      </c>
      <c r="X74" s="24">
        <f>IFERROR(__xludf.DUMMYFUNCTION("""COMPUTED_VALUE"""),33.0)</f>
        <v>33</v>
      </c>
      <c r="Y74" s="24">
        <f>IFERROR(__xludf.DUMMYFUNCTION("""COMPUTED_VALUE"""),56.0)</f>
        <v>56</v>
      </c>
      <c r="Z74" s="24">
        <f>IFERROR(__xludf.DUMMYFUNCTION("""COMPUTED_VALUE"""),28.0)</f>
        <v>28</v>
      </c>
      <c r="AA74" s="28">
        <f>IFERROR(__xludf.DUMMYFUNCTION("""COMPUTED_VALUE"""),12.0)</f>
        <v>12</v>
      </c>
      <c r="AB74" s="28">
        <f>IFERROR(__xludf.DUMMYFUNCTION("""COMPUTED_VALUE"""),20.0)</f>
        <v>20</v>
      </c>
      <c r="AC74" s="11"/>
      <c r="AD74" s="11"/>
      <c r="AE74" s="11"/>
      <c r="AF74" s="11"/>
      <c r="AG74" s="11"/>
      <c r="AH74" s="68"/>
      <c r="AJ74" s="66"/>
      <c r="AK74" s="11"/>
      <c r="AL74" s="11"/>
      <c r="AM74" s="11"/>
      <c r="AN74" s="11"/>
      <c r="AO74" s="11"/>
    </row>
    <row r="75">
      <c r="A75" s="21" t="s">
        <v>170</v>
      </c>
      <c r="B75" s="21" t="s">
        <v>171</v>
      </c>
      <c r="C75" s="22">
        <v>45274.0</v>
      </c>
      <c r="D75" s="22" t="str">
        <f t="shared" si="1"/>
        <v>12.2023</v>
      </c>
      <c r="E75" s="22">
        <v>45286.0</v>
      </c>
      <c r="F75" s="21" t="s">
        <v>22</v>
      </c>
      <c r="G75" s="23">
        <v>3.8</v>
      </c>
      <c r="H75" s="24">
        <v>52.0</v>
      </c>
      <c r="I75" s="24">
        <v>0.0</v>
      </c>
      <c r="J75" s="24">
        <v>35.0</v>
      </c>
      <c r="K75" s="21" t="s">
        <v>15</v>
      </c>
      <c r="L75" s="21" t="s">
        <v>26</v>
      </c>
      <c r="M75" s="24">
        <v>1.0</v>
      </c>
      <c r="X75" s="24">
        <f>IFERROR(__xludf.DUMMYFUNCTION("""COMPUTED_VALUE"""),36.0)</f>
        <v>36</v>
      </c>
      <c r="Y75" s="24">
        <f>IFERROR(__xludf.DUMMYFUNCTION("""COMPUTED_VALUE"""),32.0)</f>
        <v>32</v>
      </c>
      <c r="Z75" s="24">
        <f>IFERROR(__xludf.DUMMYFUNCTION("""COMPUTED_VALUE"""),12.0)</f>
        <v>12</v>
      </c>
      <c r="AA75" s="28">
        <f>IFERROR(__xludf.DUMMYFUNCTION("""COMPUTED_VALUE"""),16.0)</f>
        <v>16</v>
      </c>
      <c r="AB75" s="28">
        <f>IFERROR(__xludf.DUMMYFUNCTION("""COMPUTED_VALUE"""),35.0)</f>
        <v>35</v>
      </c>
      <c r="AC75" s="11"/>
      <c r="AD75" s="11"/>
      <c r="AE75" s="11"/>
      <c r="AF75" s="11"/>
      <c r="AG75" s="11"/>
      <c r="AH75" s="68"/>
      <c r="AJ75" s="66"/>
      <c r="AK75" s="11"/>
      <c r="AL75" s="11"/>
      <c r="AM75" s="11"/>
      <c r="AN75" s="11"/>
      <c r="AO75" s="11"/>
    </row>
    <row r="76">
      <c r="A76" s="21" t="s">
        <v>172</v>
      </c>
      <c r="B76" s="21" t="s">
        <v>173</v>
      </c>
      <c r="C76" s="22">
        <v>45167.0</v>
      </c>
      <c r="D76" s="22" t="str">
        <f t="shared" si="1"/>
        <v>08.2023</v>
      </c>
      <c r="E76" s="22">
        <v>45179.0</v>
      </c>
      <c r="F76" s="21" t="s">
        <v>22</v>
      </c>
      <c r="G76" s="23">
        <v>4.8</v>
      </c>
      <c r="H76" s="24">
        <v>39.0</v>
      </c>
      <c r="I76" s="24">
        <v>1.0</v>
      </c>
      <c r="J76" s="24">
        <v>16.0</v>
      </c>
      <c r="K76" s="21" t="s">
        <v>32</v>
      </c>
      <c r="L76" s="21" t="s">
        <v>16</v>
      </c>
      <c r="M76" s="24">
        <v>1.0</v>
      </c>
      <c r="X76" s="24">
        <f>IFERROR(__xludf.DUMMYFUNCTION("""COMPUTED_VALUE"""),40.0)</f>
        <v>40</v>
      </c>
      <c r="Y76" s="24">
        <f>IFERROR(__xludf.DUMMYFUNCTION("""COMPUTED_VALUE"""),34.0)</f>
        <v>34</v>
      </c>
      <c r="Z76" s="24">
        <f>IFERROR(__xludf.DUMMYFUNCTION("""COMPUTED_VALUE"""),26.0)</f>
        <v>26</v>
      </c>
      <c r="AA76" s="28">
        <f>IFERROR(__xludf.DUMMYFUNCTION("""COMPUTED_VALUE"""),55.0)</f>
        <v>55</v>
      </c>
      <c r="AB76" s="28">
        <f>IFERROR(__xludf.DUMMYFUNCTION("""COMPUTED_VALUE"""),32.0)</f>
        <v>32</v>
      </c>
      <c r="AC76" s="11"/>
      <c r="AD76" s="11"/>
      <c r="AE76" s="11"/>
      <c r="AF76" s="11"/>
      <c r="AG76" s="11"/>
      <c r="AH76" s="72"/>
      <c r="AI76" s="73"/>
      <c r="AJ76" s="74"/>
      <c r="AK76" s="11"/>
      <c r="AL76" s="11"/>
      <c r="AM76" s="11"/>
      <c r="AN76" s="11"/>
      <c r="AO76" s="11"/>
    </row>
    <row r="77">
      <c r="A77" s="21" t="s">
        <v>174</v>
      </c>
      <c r="B77" s="21" t="s">
        <v>175</v>
      </c>
      <c r="C77" s="22">
        <v>45172.0</v>
      </c>
      <c r="D77" s="22" t="str">
        <f t="shared" si="1"/>
        <v>09.2023</v>
      </c>
      <c r="E77" s="22">
        <v>45184.0</v>
      </c>
      <c r="F77" s="21" t="s">
        <v>14</v>
      </c>
      <c r="G77" s="23">
        <v>4.3</v>
      </c>
      <c r="H77" s="24">
        <v>65.0</v>
      </c>
      <c r="I77" s="24">
        <v>0.0</v>
      </c>
      <c r="J77" s="24">
        <v>27.0</v>
      </c>
      <c r="K77" s="21" t="s">
        <v>19</v>
      </c>
      <c r="L77" s="21" t="s">
        <v>47</v>
      </c>
      <c r="M77" s="24">
        <v>0.0</v>
      </c>
      <c r="X77" s="24">
        <f>IFERROR(__xludf.DUMMYFUNCTION("""COMPUTED_VALUE"""),20.0)</f>
        <v>20</v>
      </c>
      <c r="Y77" s="24">
        <f>IFERROR(__xludf.DUMMYFUNCTION("""COMPUTED_VALUE"""),44.0)</f>
        <v>44</v>
      </c>
      <c r="Z77" s="24">
        <f>IFERROR(__xludf.DUMMYFUNCTION("""COMPUTED_VALUE"""),48.0)</f>
        <v>48</v>
      </c>
      <c r="AA77" s="28">
        <f>IFERROR(__xludf.DUMMYFUNCTION("""COMPUTED_VALUE"""),26.0)</f>
        <v>26</v>
      </c>
      <c r="AB77" s="28">
        <f>IFERROR(__xludf.DUMMYFUNCTION("""COMPUTED_VALUE"""),41.0)</f>
        <v>41</v>
      </c>
      <c r="AC77" s="11"/>
      <c r="AD77" s="11"/>
      <c r="AE77" s="11"/>
      <c r="AF77" s="11"/>
      <c r="AG77" s="11"/>
      <c r="AH77" s="11"/>
      <c r="AI77" s="11"/>
      <c r="AJ77" s="11"/>
      <c r="AK77" s="11"/>
      <c r="AL77" s="11"/>
      <c r="AM77" s="11"/>
      <c r="AN77" s="11"/>
      <c r="AO77" s="11"/>
    </row>
    <row r="78">
      <c r="A78" s="21" t="s">
        <v>176</v>
      </c>
      <c r="B78" s="21" t="s">
        <v>177</v>
      </c>
      <c r="C78" s="22">
        <v>45202.0</v>
      </c>
      <c r="D78" s="22" t="str">
        <f t="shared" si="1"/>
        <v>10.2023</v>
      </c>
      <c r="E78" s="22">
        <v>45214.0</v>
      </c>
      <c r="F78" s="21" t="s">
        <v>38</v>
      </c>
      <c r="G78" s="23">
        <v>0.4</v>
      </c>
      <c r="H78" s="24">
        <v>31.0</v>
      </c>
      <c r="I78" s="24">
        <v>1.0</v>
      </c>
      <c r="J78" s="24">
        <v>12.0</v>
      </c>
      <c r="K78" s="21" t="s">
        <v>15</v>
      </c>
      <c r="L78" s="21" t="s">
        <v>26</v>
      </c>
      <c r="M78" s="24">
        <v>0.0</v>
      </c>
      <c r="X78" s="24">
        <f>IFERROR(__xludf.DUMMYFUNCTION("""COMPUTED_VALUE"""),45.0)</f>
        <v>45</v>
      </c>
      <c r="Y78" s="24">
        <f>IFERROR(__xludf.DUMMYFUNCTION("""COMPUTED_VALUE"""),24.0)</f>
        <v>24</v>
      </c>
      <c r="Z78" s="24">
        <f>IFERROR(__xludf.DUMMYFUNCTION("""COMPUTED_VALUE"""),43.0)</f>
        <v>43</v>
      </c>
      <c r="AA78" s="28">
        <f>IFERROR(__xludf.DUMMYFUNCTION("""COMPUTED_VALUE"""),55.0)</f>
        <v>55</v>
      </c>
      <c r="AB78" s="28">
        <f>IFERROR(__xludf.DUMMYFUNCTION("""COMPUTED_VALUE"""),16.0)</f>
        <v>16</v>
      </c>
      <c r="AC78" s="11"/>
      <c r="AD78" s="11"/>
      <c r="AE78" s="11"/>
      <c r="AF78" s="11"/>
      <c r="AG78" s="11"/>
      <c r="AH78" s="11"/>
      <c r="AI78" s="11"/>
      <c r="AJ78" s="11"/>
      <c r="AK78" s="11"/>
      <c r="AL78" s="11"/>
      <c r="AM78" s="11"/>
      <c r="AN78" s="11"/>
      <c r="AO78" s="11"/>
    </row>
    <row r="79">
      <c r="A79" s="21" t="s">
        <v>178</v>
      </c>
      <c r="B79" s="21" t="s">
        <v>179</v>
      </c>
      <c r="C79" s="22">
        <v>45218.0</v>
      </c>
      <c r="D79" s="22" t="str">
        <f t="shared" si="1"/>
        <v>10.2023</v>
      </c>
      <c r="E79" s="22">
        <v>45230.0</v>
      </c>
      <c r="F79" s="21" t="s">
        <v>22</v>
      </c>
      <c r="G79" s="23">
        <v>0.2</v>
      </c>
      <c r="H79" s="24">
        <v>35.0</v>
      </c>
      <c r="I79" s="24">
        <v>1.0</v>
      </c>
      <c r="J79" s="24">
        <v>15.0</v>
      </c>
      <c r="K79" s="21" t="s">
        <v>23</v>
      </c>
      <c r="L79" s="21" t="s">
        <v>16</v>
      </c>
      <c r="M79" s="24">
        <v>0.0</v>
      </c>
      <c r="X79" s="24">
        <f>IFERROR(__xludf.DUMMYFUNCTION("""COMPUTED_VALUE"""),44.0)</f>
        <v>44</v>
      </c>
      <c r="Y79" s="24">
        <f>IFERROR(__xludf.DUMMYFUNCTION("""COMPUTED_VALUE"""),31.0)</f>
        <v>31</v>
      </c>
      <c r="Z79" s="24">
        <f>IFERROR(__xludf.DUMMYFUNCTION("""COMPUTED_VALUE"""),13.0)</f>
        <v>13</v>
      </c>
      <c r="AA79" s="28"/>
      <c r="AB79" s="28">
        <f>IFERROR(__xludf.DUMMYFUNCTION("""COMPUTED_VALUE"""),39.0)</f>
        <v>39</v>
      </c>
      <c r="AC79" s="11"/>
      <c r="AD79" s="11"/>
      <c r="AE79" s="11"/>
      <c r="AF79" s="11"/>
      <c r="AG79" s="11"/>
      <c r="AH79" s="11"/>
      <c r="AI79" s="11"/>
      <c r="AJ79" s="11"/>
      <c r="AK79" s="11"/>
      <c r="AL79" s="11"/>
      <c r="AM79" s="11"/>
      <c r="AN79" s="11"/>
      <c r="AO79" s="11"/>
    </row>
    <row r="80">
      <c r="A80" s="21" t="s">
        <v>180</v>
      </c>
      <c r="B80" s="21" t="s">
        <v>181</v>
      </c>
      <c r="C80" s="22">
        <v>45051.0</v>
      </c>
      <c r="D80" s="22" t="str">
        <f t="shared" si="1"/>
        <v>05.2023</v>
      </c>
      <c r="E80" s="22">
        <v>45063.0</v>
      </c>
      <c r="F80" s="21" t="s">
        <v>38</v>
      </c>
      <c r="G80" s="23">
        <v>3.2</v>
      </c>
      <c r="H80" s="24">
        <v>94.0</v>
      </c>
      <c r="I80" s="24">
        <v>0.0</v>
      </c>
      <c r="J80" s="24">
        <v>56.0</v>
      </c>
      <c r="K80" s="21" t="s">
        <v>19</v>
      </c>
      <c r="L80" s="21" t="s">
        <v>16</v>
      </c>
      <c r="M80" s="24">
        <v>1.0</v>
      </c>
      <c r="X80" s="24">
        <f>IFERROR(__xludf.DUMMYFUNCTION("""COMPUTED_VALUE"""),21.0)</f>
        <v>21</v>
      </c>
      <c r="Y80" s="24">
        <f>IFERROR(__xludf.DUMMYFUNCTION("""COMPUTED_VALUE"""),51.0)</f>
        <v>51</v>
      </c>
      <c r="Z80" s="24">
        <f>IFERROR(__xludf.DUMMYFUNCTION("""COMPUTED_VALUE"""),50.0)</f>
        <v>50</v>
      </c>
      <c r="AA80" s="28"/>
      <c r="AB80" s="28">
        <f>IFERROR(__xludf.DUMMYFUNCTION("""COMPUTED_VALUE"""),27.0)</f>
        <v>27</v>
      </c>
      <c r="AC80" s="11"/>
      <c r="AD80" s="11"/>
      <c r="AE80" s="11"/>
      <c r="AF80" s="11"/>
      <c r="AG80" s="11"/>
      <c r="AH80" s="29" t="s">
        <v>1237</v>
      </c>
      <c r="AI80" s="11"/>
      <c r="AJ80" s="11"/>
      <c r="AK80" s="11"/>
      <c r="AL80" s="11"/>
      <c r="AM80" s="11"/>
      <c r="AN80" s="11"/>
      <c r="AO80" s="11"/>
    </row>
    <row r="81">
      <c r="A81" s="21" t="s">
        <v>182</v>
      </c>
      <c r="B81" s="21" t="s">
        <v>183</v>
      </c>
      <c r="C81" s="22">
        <v>45257.0</v>
      </c>
      <c r="D81" s="22" t="str">
        <f t="shared" si="1"/>
        <v>11.2023</v>
      </c>
      <c r="E81" s="22">
        <v>45269.0</v>
      </c>
      <c r="F81" s="21" t="s">
        <v>22</v>
      </c>
      <c r="G81" s="23">
        <v>4.1</v>
      </c>
      <c r="H81" s="24">
        <v>21.0</v>
      </c>
      <c r="I81" s="24">
        <v>1.0</v>
      </c>
      <c r="J81" s="24">
        <v>20.0</v>
      </c>
      <c r="K81" s="21" t="s">
        <v>35</v>
      </c>
      <c r="L81" s="21" t="s">
        <v>16</v>
      </c>
      <c r="M81" s="24">
        <v>1.0</v>
      </c>
      <c r="X81" s="24">
        <f>IFERROR(__xludf.DUMMYFUNCTION("""COMPUTED_VALUE"""),53.0)</f>
        <v>53</v>
      </c>
      <c r="Y81" s="24">
        <f>IFERROR(__xludf.DUMMYFUNCTION("""COMPUTED_VALUE"""),32.0)</f>
        <v>32</v>
      </c>
      <c r="Z81" s="24">
        <f>IFERROR(__xludf.DUMMYFUNCTION("""COMPUTED_VALUE"""),17.0)</f>
        <v>17</v>
      </c>
      <c r="AA81" s="28"/>
      <c r="AB81" s="28">
        <f>IFERROR(__xludf.DUMMYFUNCTION("""COMPUTED_VALUE"""),16.0)</f>
        <v>16</v>
      </c>
      <c r="AC81" s="11"/>
      <c r="AD81" s="11"/>
      <c r="AE81" s="11"/>
      <c r="AF81" s="11"/>
      <c r="AG81" s="11"/>
      <c r="AH81" s="75" t="s">
        <v>1287</v>
      </c>
      <c r="AI81" s="11"/>
      <c r="AJ81" s="11"/>
      <c r="AK81" s="11"/>
      <c r="AL81" s="11"/>
      <c r="AM81" s="11"/>
      <c r="AN81" s="11"/>
      <c r="AO81" s="11"/>
    </row>
    <row r="82">
      <c r="A82" s="21" t="s">
        <v>184</v>
      </c>
      <c r="B82" s="21" t="s">
        <v>185</v>
      </c>
      <c r="C82" s="22">
        <v>45232.0</v>
      </c>
      <c r="D82" s="22" t="str">
        <f t="shared" si="1"/>
        <v>11.2023</v>
      </c>
      <c r="E82" s="22">
        <v>45244.0</v>
      </c>
      <c r="F82" s="21" t="s">
        <v>22</v>
      </c>
      <c r="G82" s="23">
        <v>3.4</v>
      </c>
      <c r="H82" s="24">
        <v>54.0</v>
      </c>
      <c r="I82" s="24">
        <v>1.0</v>
      </c>
      <c r="J82" s="24">
        <v>31.0</v>
      </c>
      <c r="K82" s="21" t="s">
        <v>35</v>
      </c>
      <c r="L82" s="21" t="s">
        <v>47</v>
      </c>
      <c r="M82" s="24">
        <v>0.0</v>
      </c>
      <c r="X82" s="24">
        <f>IFERROR(__xludf.DUMMYFUNCTION("""COMPUTED_VALUE"""),30.0)</f>
        <v>30</v>
      </c>
      <c r="Y82" s="24">
        <f>IFERROR(__xludf.DUMMYFUNCTION("""COMPUTED_VALUE"""),44.0)</f>
        <v>44</v>
      </c>
      <c r="Z82" s="24">
        <f>IFERROR(__xludf.DUMMYFUNCTION("""COMPUTED_VALUE"""),24.0)</f>
        <v>24</v>
      </c>
      <c r="AA82" s="28"/>
      <c r="AB82" s="28">
        <f>IFERROR(__xludf.DUMMYFUNCTION("""COMPUTED_VALUE"""),19.0)</f>
        <v>19</v>
      </c>
      <c r="AC82" s="11"/>
      <c r="AD82" s="11"/>
      <c r="AE82" s="11"/>
      <c r="AF82" s="11"/>
      <c r="AG82" s="11"/>
      <c r="AH82" s="46"/>
      <c r="AI82" s="11"/>
      <c r="AJ82" s="11"/>
      <c r="AK82" s="11"/>
      <c r="AL82" s="11"/>
      <c r="AM82" s="11"/>
      <c r="AN82" s="11"/>
      <c r="AO82" s="11"/>
    </row>
    <row r="83">
      <c r="A83" s="21" t="s">
        <v>186</v>
      </c>
      <c r="B83" s="21" t="s">
        <v>187</v>
      </c>
      <c r="C83" s="22">
        <v>45073.0</v>
      </c>
      <c r="D83" s="22" t="str">
        <f t="shared" si="1"/>
        <v>05.2023</v>
      </c>
      <c r="E83" s="22">
        <v>45085.0</v>
      </c>
      <c r="F83" s="21" t="s">
        <v>38</v>
      </c>
      <c r="G83" s="23">
        <v>5.0</v>
      </c>
      <c r="H83" s="24">
        <v>97.0</v>
      </c>
      <c r="I83" s="24">
        <v>1.0</v>
      </c>
      <c r="J83" s="24">
        <v>39.0</v>
      </c>
      <c r="K83" s="21" t="s">
        <v>35</v>
      </c>
      <c r="L83" s="21" t="s">
        <v>16</v>
      </c>
      <c r="M83" s="24">
        <v>1.0</v>
      </c>
      <c r="X83" s="24">
        <f>IFERROR(__xludf.DUMMYFUNCTION("""COMPUTED_VALUE"""),31.0)</f>
        <v>31</v>
      </c>
      <c r="Y83" s="24">
        <f>IFERROR(__xludf.DUMMYFUNCTION("""COMPUTED_VALUE"""),45.0)</f>
        <v>45</v>
      </c>
      <c r="Z83" s="24">
        <f>IFERROR(__xludf.DUMMYFUNCTION("""COMPUTED_VALUE"""),51.0)</f>
        <v>51</v>
      </c>
      <c r="AA83" s="28"/>
      <c r="AB83" s="28">
        <f>IFERROR(__xludf.DUMMYFUNCTION("""COMPUTED_VALUE"""),15.0)</f>
        <v>15</v>
      </c>
      <c r="AC83" s="11"/>
      <c r="AD83" s="11"/>
      <c r="AE83" s="11"/>
      <c r="AF83" s="11"/>
      <c r="AG83" s="11"/>
      <c r="AH83" s="46"/>
      <c r="AI83" s="11"/>
      <c r="AJ83" s="11"/>
      <c r="AK83" s="11"/>
      <c r="AL83" s="11"/>
      <c r="AM83" s="11"/>
      <c r="AN83" s="11"/>
      <c r="AO83" s="11"/>
    </row>
    <row r="84">
      <c r="A84" s="21" t="s">
        <v>188</v>
      </c>
      <c r="B84" s="21" t="s">
        <v>189</v>
      </c>
      <c r="C84" s="22">
        <v>45187.0</v>
      </c>
      <c r="D84" s="22" t="str">
        <f t="shared" si="1"/>
        <v>09.2023</v>
      </c>
      <c r="E84" s="22">
        <v>45199.0</v>
      </c>
      <c r="F84" s="21" t="s">
        <v>22</v>
      </c>
      <c r="G84" s="23">
        <v>1.9</v>
      </c>
      <c r="H84" s="24">
        <v>72.0</v>
      </c>
      <c r="I84" s="24">
        <v>1.0</v>
      </c>
      <c r="J84" s="24">
        <v>30.0</v>
      </c>
      <c r="K84" s="21" t="s">
        <v>23</v>
      </c>
      <c r="L84" s="21" t="s">
        <v>47</v>
      </c>
      <c r="M84" s="24">
        <v>0.0</v>
      </c>
      <c r="X84" s="24">
        <f>IFERROR(__xludf.DUMMYFUNCTION("""COMPUTED_VALUE"""),25.0)</f>
        <v>25</v>
      </c>
      <c r="Y84" s="24">
        <f>IFERROR(__xludf.DUMMYFUNCTION("""COMPUTED_VALUE"""),47.0)</f>
        <v>47</v>
      </c>
      <c r="Z84" s="24">
        <f>IFERROR(__xludf.DUMMYFUNCTION("""COMPUTED_VALUE"""),49.0)</f>
        <v>49</v>
      </c>
      <c r="AA84" s="28"/>
      <c r="AB84" s="28">
        <f>IFERROR(__xludf.DUMMYFUNCTION("""COMPUTED_VALUE"""),30.0)</f>
        <v>30</v>
      </c>
      <c r="AC84" s="11"/>
      <c r="AD84" s="11"/>
      <c r="AE84" s="11"/>
      <c r="AF84" s="11"/>
      <c r="AG84" s="11"/>
      <c r="AH84" s="46"/>
      <c r="AI84" s="11"/>
      <c r="AJ84" s="11"/>
      <c r="AK84" s="11"/>
      <c r="AL84" s="11"/>
      <c r="AM84" s="11"/>
      <c r="AN84" s="11"/>
      <c r="AO84" s="11"/>
    </row>
    <row r="85">
      <c r="A85" s="21" t="s">
        <v>190</v>
      </c>
      <c r="B85" s="21" t="s">
        <v>191</v>
      </c>
      <c r="C85" s="22">
        <v>45232.0</v>
      </c>
      <c r="D85" s="22" t="str">
        <f t="shared" si="1"/>
        <v>11.2023</v>
      </c>
      <c r="E85" s="22">
        <v>45244.0</v>
      </c>
      <c r="F85" s="21" t="s">
        <v>38</v>
      </c>
      <c r="G85" s="23">
        <v>0.1</v>
      </c>
      <c r="H85" s="24">
        <v>55.0</v>
      </c>
      <c r="I85" s="24">
        <v>1.0</v>
      </c>
      <c r="J85" s="24">
        <v>21.0</v>
      </c>
      <c r="K85" s="21" t="s">
        <v>15</v>
      </c>
      <c r="L85" s="21" t="s">
        <v>26</v>
      </c>
      <c r="M85" s="24">
        <v>0.0</v>
      </c>
      <c r="X85" s="24">
        <f>IFERROR(__xludf.DUMMYFUNCTION("""COMPUTED_VALUE"""),41.0)</f>
        <v>41</v>
      </c>
      <c r="Y85" s="24">
        <f>IFERROR(__xludf.DUMMYFUNCTION("""COMPUTED_VALUE"""),52.0)</f>
        <v>52</v>
      </c>
      <c r="Z85" s="24">
        <f>IFERROR(__xludf.DUMMYFUNCTION("""COMPUTED_VALUE"""),25.0)</f>
        <v>25</v>
      </c>
      <c r="AA85" s="28"/>
      <c r="AB85" s="28">
        <f>IFERROR(__xludf.DUMMYFUNCTION("""COMPUTED_VALUE"""),35.0)</f>
        <v>35</v>
      </c>
      <c r="AC85" s="11"/>
      <c r="AD85" s="11"/>
      <c r="AE85" s="11"/>
      <c r="AF85" s="11"/>
      <c r="AG85" s="11"/>
      <c r="AH85" s="46"/>
      <c r="AI85" s="11"/>
      <c r="AJ85" s="11"/>
      <c r="AK85" s="11"/>
      <c r="AL85" s="11"/>
      <c r="AM85" s="11"/>
      <c r="AN85" s="11"/>
      <c r="AO85" s="11"/>
    </row>
    <row r="86">
      <c r="A86" s="21" t="s">
        <v>192</v>
      </c>
      <c r="B86" s="21" t="s">
        <v>193</v>
      </c>
      <c r="C86" s="22">
        <v>45196.0</v>
      </c>
      <c r="D86" s="22" t="str">
        <f t="shared" si="1"/>
        <v>09.2023</v>
      </c>
      <c r="E86" s="22">
        <v>45208.0</v>
      </c>
      <c r="F86" s="21" t="s">
        <v>14</v>
      </c>
      <c r="G86" s="23">
        <v>2.1</v>
      </c>
      <c r="H86" s="24">
        <v>64.0</v>
      </c>
      <c r="I86" s="24">
        <v>0.0</v>
      </c>
      <c r="J86" s="24">
        <v>24.0</v>
      </c>
      <c r="K86" s="21" t="s">
        <v>35</v>
      </c>
      <c r="L86" s="21" t="s">
        <v>26</v>
      </c>
      <c r="M86" s="24">
        <v>1.0</v>
      </c>
      <c r="X86" s="24">
        <f>IFERROR(__xludf.DUMMYFUNCTION("""COMPUTED_VALUE"""),32.0)</f>
        <v>32</v>
      </c>
      <c r="Y86" s="24">
        <f>IFERROR(__xludf.DUMMYFUNCTION("""COMPUTED_VALUE"""),39.0)</f>
        <v>39</v>
      </c>
      <c r="Z86" s="24">
        <f>IFERROR(__xludf.DUMMYFUNCTION("""COMPUTED_VALUE"""),18.0)</f>
        <v>18</v>
      </c>
      <c r="AA86" s="28"/>
      <c r="AB86" s="28">
        <f>IFERROR(__xludf.DUMMYFUNCTION("""COMPUTED_VALUE"""),34.0)</f>
        <v>34</v>
      </c>
      <c r="AC86" s="11"/>
      <c r="AD86" s="11"/>
      <c r="AE86" s="11"/>
      <c r="AF86" s="11"/>
      <c r="AG86" s="11"/>
      <c r="AH86" s="46"/>
      <c r="AI86" s="11"/>
      <c r="AJ86" s="11"/>
      <c r="AK86" s="11"/>
      <c r="AL86" s="11"/>
      <c r="AM86" s="11"/>
      <c r="AN86" s="11"/>
      <c r="AO86" s="11"/>
    </row>
    <row r="87">
      <c r="A87" s="21" t="s">
        <v>194</v>
      </c>
      <c r="B87" s="21" t="s">
        <v>195</v>
      </c>
      <c r="C87" s="22">
        <v>45031.0</v>
      </c>
      <c r="D87" s="22" t="str">
        <f t="shared" si="1"/>
        <v>04.2023</v>
      </c>
      <c r="E87" s="22">
        <v>45043.0</v>
      </c>
      <c r="F87" s="21" t="s">
        <v>14</v>
      </c>
      <c r="G87" s="23">
        <v>1.2</v>
      </c>
      <c r="H87" s="24">
        <v>43.0</v>
      </c>
      <c r="I87" s="24">
        <v>0.0</v>
      </c>
      <c r="J87" s="24">
        <v>43.0</v>
      </c>
      <c r="K87" s="21" t="s">
        <v>35</v>
      </c>
      <c r="L87" s="21" t="s">
        <v>47</v>
      </c>
      <c r="M87" s="24">
        <v>1.0</v>
      </c>
      <c r="X87" s="24">
        <f>IFERROR(__xludf.DUMMYFUNCTION("""COMPUTED_VALUE"""),26.0)</f>
        <v>26</v>
      </c>
      <c r="Y87" s="24">
        <f>IFERROR(__xludf.DUMMYFUNCTION("""COMPUTED_VALUE"""),56.0)</f>
        <v>56</v>
      </c>
      <c r="Z87" s="24">
        <f>IFERROR(__xludf.DUMMYFUNCTION("""COMPUTED_VALUE"""),33.0)</f>
        <v>33</v>
      </c>
      <c r="AA87" s="28"/>
      <c r="AB87" s="28"/>
      <c r="AC87" s="11"/>
      <c r="AD87" s="11"/>
      <c r="AE87" s="11"/>
      <c r="AF87" s="11"/>
      <c r="AG87" s="11"/>
      <c r="AH87" s="46"/>
      <c r="AI87" s="11"/>
      <c r="AJ87" s="11"/>
      <c r="AK87" s="11"/>
      <c r="AL87" s="11"/>
      <c r="AM87" s="11"/>
      <c r="AN87" s="11"/>
      <c r="AO87" s="11"/>
    </row>
    <row r="88">
      <c r="A88" s="21" t="s">
        <v>196</v>
      </c>
      <c r="B88" s="21" t="s">
        <v>197</v>
      </c>
      <c r="C88" s="22">
        <v>45130.0</v>
      </c>
      <c r="D88" s="22" t="str">
        <f t="shared" si="1"/>
        <v>07.2023</v>
      </c>
      <c r="E88" s="22">
        <v>45142.0</v>
      </c>
      <c r="F88" s="21" t="s">
        <v>14</v>
      </c>
      <c r="G88" s="23">
        <v>0.8</v>
      </c>
      <c r="H88" s="24">
        <v>61.0</v>
      </c>
      <c r="I88" s="24">
        <v>1.0</v>
      </c>
      <c r="J88" s="24">
        <v>51.0</v>
      </c>
      <c r="K88" s="21" t="s">
        <v>32</v>
      </c>
      <c r="L88" s="21" t="s">
        <v>16</v>
      </c>
      <c r="M88" s="24">
        <v>0.0</v>
      </c>
      <c r="X88" s="24">
        <f>IFERROR(__xludf.DUMMYFUNCTION("""COMPUTED_VALUE"""),14.0)</f>
        <v>14</v>
      </c>
      <c r="Y88" s="24">
        <f>IFERROR(__xludf.DUMMYFUNCTION("""COMPUTED_VALUE"""),14.0)</f>
        <v>14</v>
      </c>
      <c r="Z88" s="24"/>
      <c r="AA88" s="28"/>
      <c r="AB88" s="28"/>
      <c r="AC88" s="11"/>
      <c r="AD88" s="11"/>
      <c r="AE88" s="11"/>
      <c r="AF88" s="11"/>
      <c r="AG88" s="11"/>
      <c r="AH88" s="46"/>
      <c r="AI88" s="11"/>
      <c r="AJ88" s="11"/>
      <c r="AK88" s="11"/>
      <c r="AL88" s="11"/>
      <c r="AM88" s="11"/>
      <c r="AN88" s="11"/>
      <c r="AO88" s="11"/>
    </row>
    <row r="89">
      <c r="A89" s="21" t="s">
        <v>198</v>
      </c>
      <c r="B89" s="21" t="s">
        <v>199</v>
      </c>
      <c r="C89" s="22">
        <v>44988.0</v>
      </c>
      <c r="D89" s="22" t="str">
        <f t="shared" si="1"/>
        <v>03.2023</v>
      </c>
      <c r="E89" s="22">
        <v>45000.0</v>
      </c>
      <c r="F89" s="21" t="s">
        <v>22</v>
      </c>
      <c r="G89" s="23">
        <v>4.5</v>
      </c>
      <c r="H89" s="24">
        <v>96.0</v>
      </c>
      <c r="I89" s="24">
        <v>1.0</v>
      </c>
      <c r="J89" s="24">
        <v>49.0</v>
      </c>
      <c r="K89" s="21" t="s">
        <v>19</v>
      </c>
      <c r="L89" s="21" t="s">
        <v>47</v>
      </c>
      <c r="M89" s="24">
        <v>0.0</v>
      </c>
      <c r="X89" s="24">
        <f>IFERROR(__xludf.DUMMYFUNCTION("""COMPUTED_VALUE"""),24.0)</f>
        <v>24</v>
      </c>
      <c r="Y89" s="24">
        <f>IFERROR(__xludf.DUMMYFUNCTION("""COMPUTED_VALUE"""),38.0)</f>
        <v>38</v>
      </c>
      <c r="Z89" s="24"/>
      <c r="AA89" s="28"/>
      <c r="AB89" s="28"/>
      <c r="AC89" s="11"/>
      <c r="AD89" s="11"/>
      <c r="AE89" s="11"/>
      <c r="AF89" s="11"/>
      <c r="AG89" s="11"/>
      <c r="AH89" s="46"/>
      <c r="AI89" s="11"/>
      <c r="AJ89" s="11"/>
      <c r="AK89" s="11"/>
      <c r="AL89" s="11"/>
      <c r="AM89" s="11"/>
      <c r="AN89" s="11"/>
      <c r="AO89" s="11"/>
    </row>
    <row r="90">
      <c r="A90" s="21" t="s">
        <v>200</v>
      </c>
      <c r="B90" s="21" t="s">
        <v>201</v>
      </c>
      <c r="C90" s="22">
        <v>45281.0</v>
      </c>
      <c r="D90" s="22" t="str">
        <f t="shared" si="1"/>
        <v>12.2023</v>
      </c>
      <c r="E90" s="22">
        <v>45293.0</v>
      </c>
      <c r="F90" s="21" t="s">
        <v>14</v>
      </c>
      <c r="G90" s="23">
        <v>3.1</v>
      </c>
      <c r="H90" s="24">
        <v>13.0</v>
      </c>
      <c r="I90" s="24">
        <v>1.0</v>
      </c>
      <c r="J90" s="24">
        <v>52.0</v>
      </c>
      <c r="K90" s="21" t="s">
        <v>35</v>
      </c>
      <c r="L90" s="21" t="s">
        <v>47</v>
      </c>
      <c r="M90" s="24">
        <v>1.0</v>
      </c>
      <c r="X90" s="24">
        <f>IFERROR(__xludf.DUMMYFUNCTION("""COMPUTED_VALUE"""),46.0)</f>
        <v>46</v>
      </c>
      <c r="Y90" s="24">
        <f>IFERROR(__xludf.DUMMYFUNCTION("""COMPUTED_VALUE"""),41.0)</f>
        <v>41</v>
      </c>
      <c r="Z90" s="24"/>
      <c r="AA90" s="28"/>
      <c r="AB90" s="28"/>
      <c r="AC90" s="11"/>
      <c r="AD90" s="11"/>
      <c r="AE90" s="11"/>
      <c r="AF90" s="11"/>
      <c r="AG90" s="11"/>
      <c r="AH90" s="60"/>
      <c r="AI90" s="11"/>
      <c r="AJ90" s="11"/>
      <c r="AK90" s="11"/>
      <c r="AL90" s="11"/>
      <c r="AM90" s="11"/>
      <c r="AN90" s="11"/>
      <c r="AO90" s="11"/>
    </row>
    <row r="91">
      <c r="A91" s="21" t="s">
        <v>202</v>
      </c>
      <c r="B91" s="21" t="s">
        <v>203</v>
      </c>
      <c r="C91" s="22">
        <v>45200.0</v>
      </c>
      <c r="D91" s="22" t="str">
        <f t="shared" si="1"/>
        <v>10.2023</v>
      </c>
      <c r="E91" s="22">
        <v>45212.0</v>
      </c>
      <c r="F91" s="21" t="s">
        <v>22</v>
      </c>
      <c r="G91" s="23">
        <v>0.3</v>
      </c>
      <c r="H91" s="24">
        <v>75.0</v>
      </c>
      <c r="I91" s="24">
        <v>1.0</v>
      </c>
      <c r="J91" s="24">
        <v>40.0</v>
      </c>
      <c r="K91" s="21" t="s">
        <v>32</v>
      </c>
      <c r="L91" s="21" t="s">
        <v>16</v>
      </c>
      <c r="M91" s="24">
        <v>0.0</v>
      </c>
      <c r="X91" s="24">
        <f>IFERROR(__xludf.DUMMYFUNCTION("""COMPUTED_VALUE"""),33.0)</f>
        <v>33</v>
      </c>
      <c r="Y91" s="24"/>
      <c r="Z91" s="24"/>
      <c r="AA91" s="28"/>
      <c r="AB91" s="28"/>
      <c r="AC91" s="11"/>
      <c r="AD91" s="11"/>
      <c r="AE91" s="11"/>
      <c r="AF91" s="11"/>
      <c r="AG91" s="11"/>
      <c r="AH91" s="11"/>
      <c r="AI91" s="11"/>
      <c r="AJ91" s="11"/>
      <c r="AK91" s="11"/>
      <c r="AL91" s="11"/>
      <c r="AM91" s="11"/>
      <c r="AN91" s="11"/>
      <c r="AO91" s="11"/>
    </row>
    <row r="92">
      <c r="A92" s="21" t="s">
        <v>204</v>
      </c>
      <c r="B92" s="21" t="s">
        <v>205</v>
      </c>
      <c r="C92" s="22">
        <v>45125.0</v>
      </c>
      <c r="D92" s="22" t="str">
        <f t="shared" si="1"/>
        <v>07.2023</v>
      </c>
      <c r="E92" s="22">
        <v>45137.0</v>
      </c>
      <c r="F92" s="21" t="s">
        <v>29</v>
      </c>
      <c r="G92" s="23">
        <v>4.4</v>
      </c>
      <c r="H92" s="24">
        <v>3.0</v>
      </c>
      <c r="I92" s="24">
        <v>0.0</v>
      </c>
      <c r="J92" s="24">
        <v>22.0</v>
      </c>
      <c r="K92" s="21" t="s">
        <v>19</v>
      </c>
      <c r="L92" s="21" t="s">
        <v>47</v>
      </c>
      <c r="M92" s="24">
        <v>1.0</v>
      </c>
      <c r="X92" s="24">
        <f>IFERROR(__xludf.DUMMYFUNCTION("""COMPUTED_VALUE"""),18.0)</f>
        <v>18</v>
      </c>
      <c r="Y92" s="24"/>
      <c r="Z92" s="24"/>
      <c r="AA92" s="28"/>
      <c r="AB92" s="28"/>
      <c r="AC92" s="11"/>
      <c r="AD92" s="11"/>
      <c r="AE92" s="11"/>
      <c r="AF92" s="11"/>
      <c r="AG92" s="11"/>
      <c r="AH92" s="11"/>
      <c r="AI92" s="11"/>
      <c r="AJ92" s="11"/>
      <c r="AK92" s="11"/>
      <c r="AL92" s="11"/>
      <c r="AM92" s="11"/>
      <c r="AN92" s="11"/>
      <c r="AO92" s="11"/>
    </row>
    <row r="93">
      <c r="A93" s="21" t="s">
        <v>206</v>
      </c>
      <c r="B93" s="21" t="s">
        <v>207</v>
      </c>
      <c r="C93" s="22">
        <v>44951.0</v>
      </c>
      <c r="D93" s="22" t="str">
        <f t="shared" si="1"/>
        <v>01.2023</v>
      </c>
      <c r="E93" s="22">
        <v>44963.0</v>
      </c>
      <c r="F93" s="21" t="s">
        <v>29</v>
      </c>
      <c r="G93" s="23">
        <v>1.6</v>
      </c>
      <c r="H93" s="24">
        <v>34.0</v>
      </c>
      <c r="I93" s="24">
        <v>0.0</v>
      </c>
      <c r="J93" s="24">
        <v>31.0</v>
      </c>
      <c r="K93" s="21" t="s">
        <v>15</v>
      </c>
      <c r="L93" s="21" t="s">
        <v>47</v>
      </c>
      <c r="M93" s="24">
        <v>1.0</v>
      </c>
      <c r="X93" s="24">
        <f>IFERROR(__xludf.DUMMYFUNCTION("""COMPUTED_VALUE"""),22.0)</f>
        <v>22</v>
      </c>
      <c r="Y93" s="24"/>
      <c r="Z93" s="24"/>
      <c r="AA93" s="28"/>
      <c r="AB93" s="28"/>
      <c r="AC93" s="11"/>
      <c r="AD93" s="11"/>
      <c r="AE93" s="11"/>
      <c r="AF93" s="11"/>
      <c r="AG93" s="11"/>
      <c r="AH93" s="11"/>
      <c r="AI93" s="11"/>
      <c r="AJ93" s="11"/>
      <c r="AK93" s="11"/>
      <c r="AL93" s="11"/>
      <c r="AM93" s="11"/>
      <c r="AN93" s="11"/>
      <c r="AO93" s="11"/>
    </row>
    <row r="94">
      <c r="A94" s="21" t="s">
        <v>208</v>
      </c>
      <c r="B94" s="21" t="s">
        <v>209</v>
      </c>
      <c r="C94" s="22">
        <v>45020.0</v>
      </c>
      <c r="D94" s="22" t="str">
        <f t="shared" si="1"/>
        <v>04.2023</v>
      </c>
      <c r="E94" s="22">
        <v>45032.0</v>
      </c>
      <c r="F94" s="21" t="s">
        <v>22</v>
      </c>
      <c r="G94" s="23">
        <v>3.7</v>
      </c>
      <c r="H94" s="24">
        <v>89.0</v>
      </c>
      <c r="I94" s="24">
        <v>0.0</v>
      </c>
      <c r="J94" s="24">
        <v>52.0</v>
      </c>
      <c r="K94" s="21" t="s">
        <v>23</v>
      </c>
      <c r="L94" s="21" t="s">
        <v>26</v>
      </c>
      <c r="M94" s="24">
        <v>1.0</v>
      </c>
      <c r="X94" s="24">
        <f>IFERROR(__xludf.DUMMYFUNCTION("""COMPUTED_VALUE"""),48.0)</f>
        <v>48</v>
      </c>
      <c r="Y94" s="24"/>
      <c r="Z94" s="24"/>
      <c r="AA94" s="28"/>
      <c r="AB94" s="28"/>
      <c r="AC94" s="11"/>
      <c r="AD94" s="11"/>
      <c r="AE94" s="11"/>
      <c r="AF94" s="11"/>
      <c r="AG94" s="11"/>
      <c r="AH94" s="11"/>
      <c r="AI94" s="11"/>
      <c r="AJ94" s="11"/>
      <c r="AK94" s="11"/>
      <c r="AL94" s="11"/>
      <c r="AM94" s="11"/>
      <c r="AN94" s="11"/>
      <c r="AO94" s="11"/>
    </row>
    <row r="95">
      <c r="A95" s="21" t="s">
        <v>210</v>
      </c>
      <c r="B95" s="21" t="s">
        <v>211</v>
      </c>
      <c r="C95" s="22">
        <v>45148.0</v>
      </c>
      <c r="D95" s="22" t="str">
        <f t="shared" si="1"/>
        <v>08.2023</v>
      </c>
      <c r="E95" s="22">
        <v>45160.0</v>
      </c>
      <c r="F95" s="21" t="s">
        <v>14</v>
      </c>
      <c r="G95" s="23">
        <v>1.4</v>
      </c>
      <c r="H95" s="24">
        <v>25.0</v>
      </c>
      <c r="I95" s="24">
        <v>0.0</v>
      </c>
      <c r="J95" s="24">
        <v>45.0</v>
      </c>
      <c r="K95" s="21" t="s">
        <v>15</v>
      </c>
      <c r="L95" s="21" t="s">
        <v>47</v>
      </c>
      <c r="M95" s="24">
        <v>1.0</v>
      </c>
      <c r="X95" s="24">
        <f>IFERROR(__xludf.DUMMYFUNCTION("""COMPUTED_VALUE"""),35.0)</f>
        <v>35</v>
      </c>
      <c r="Y95" s="24"/>
      <c r="Z95" s="24"/>
      <c r="AA95" s="28"/>
      <c r="AB95" s="28"/>
    </row>
    <row r="96">
      <c r="A96" s="21" t="s">
        <v>212</v>
      </c>
      <c r="B96" s="21" t="s">
        <v>213</v>
      </c>
      <c r="C96" s="22">
        <v>44993.0</v>
      </c>
      <c r="D96" s="22" t="str">
        <f t="shared" si="1"/>
        <v>03.2023</v>
      </c>
      <c r="E96" s="22">
        <v>45005.0</v>
      </c>
      <c r="F96" s="21" t="s">
        <v>22</v>
      </c>
      <c r="G96" s="23">
        <v>0.9</v>
      </c>
      <c r="H96" s="24">
        <v>73.0</v>
      </c>
      <c r="I96" s="24">
        <v>0.0</v>
      </c>
      <c r="J96" s="24">
        <v>18.0</v>
      </c>
      <c r="K96" s="21" t="s">
        <v>19</v>
      </c>
      <c r="L96" s="21" t="s">
        <v>47</v>
      </c>
      <c r="M96" s="24">
        <v>1.0</v>
      </c>
      <c r="X96" s="24">
        <f>IFERROR(__xludf.DUMMYFUNCTION("""COMPUTED_VALUE"""),19.0)</f>
        <v>19</v>
      </c>
      <c r="Y96" s="24"/>
      <c r="Z96" s="24"/>
      <c r="AA96" s="28"/>
      <c r="AB96" s="28"/>
    </row>
    <row r="97">
      <c r="A97" s="21" t="s">
        <v>214</v>
      </c>
      <c r="B97" s="21" t="s">
        <v>215</v>
      </c>
      <c r="C97" s="22">
        <v>45130.0</v>
      </c>
      <c r="D97" s="22" t="str">
        <f t="shared" si="1"/>
        <v>07.2023</v>
      </c>
      <c r="E97" s="22">
        <v>45142.0</v>
      </c>
      <c r="F97" s="21" t="s">
        <v>22</v>
      </c>
      <c r="G97" s="23">
        <v>2.3</v>
      </c>
      <c r="H97" s="24">
        <v>37.0</v>
      </c>
      <c r="I97" s="24">
        <v>1.0</v>
      </c>
      <c r="J97" s="24">
        <v>50.0</v>
      </c>
      <c r="K97" s="21" t="s">
        <v>35</v>
      </c>
      <c r="L97" s="21" t="s">
        <v>26</v>
      </c>
      <c r="M97" s="24">
        <v>0.0</v>
      </c>
      <c r="X97" s="24">
        <f>IFERROR(__xludf.DUMMYFUNCTION("""COMPUTED_VALUE"""),49.0)</f>
        <v>49</v>
      </c>
      <c r="Y97" s="24"/>
      <c r="Z97" s="24"/>
      <c r="AA97" s="28"/>
      <c r="AB97" s="28"/>
    </row>
    <row r="98">
      <c r="A98" s="21" t="s">
        <v>216</v>
      </c>
      <c r="B98" s="21" t="s">
        <v>217</v>
      </c>
      <c r="C98" s="22">
        <v>44973.0</v>
      </c>
      <c r="D98" s="22" t="str">
        <f t="shared" si="1"/>
        <v>02.2023</v>
      </c>
      <c r="E98" s="22">
        <v>44985.0</v>
      </c>
      <c r="F98" s="21" t="s">
        <v>29</v>
      </c>
      <c r="G98" s="23">
        <v>3.6</v>
      </c>
      <c r="H98" s="24">
        <v>86.0</v>
      </c>
      <c r="I98" s="24">
        <v>0.0</v>
      </c>
      <c r="J98" s="24">
        <v>43.0</v>
      </c>
      <c r="K98" s="21" t="s">
        <v>32</v>
      </c>
      <c r="L98" s="21" t="s">
        <v>16</v>
      </c>
      <c r="M98" s="24">
        <v>1.0</v>
      </c>
      <c r="X98" s="24">
        <f>IFERROR(__xludf.DUMMYFUNCTION("""COMPUTED_VALUE"""),23.0)</f>
        <v>23</v>
      </c>
      <c r="Y98" s="24"/>
      <c r="Z98" s="24"/>
      <c r="AA98" s="28"/>
      <c r="AB98" s="28"/>
    </row>
    <row r="99">
      <c r="A99" s="21" t="s">
        <v>218</v>
      </c>
      <c r="B99" s="21" t="s">
        <v>219</v>
      </c>
      <c r="C99" s="22">
        <v>45095.0</v>
      </c>
      <c r="D99" s="22" t="str">
        <f t="shared" si="1"/>
        <v>06.2023</v>
      </c>
      <c r="E99" s="22">
        <v>45107.0</v>
      </c>
      <c r="F99" s="21" t="s">
        <v>14</v>
      </c>
      <c r="G99" s="23">
        <v>1.3</v>
      </c>
      <c r="H99" s="24">
        <v>70.0</v>
      </c>
      <c r="I99" s="24">
        <v>0.0</v>
      </c>
      <c r="J99" s="24">
        <v>39.0</v>
      </c>
      <c r="K99" s="21" t="s">
        <v>19</v>
      </c>
      <c r="L99" s="21" t="s">
        <v>16</v>
      </c>
      <c r="M99" s="24">
        <v>0.0</v>
      </c>
      <c r="X99" s="24">
        <f>IFERROR(__xludf.DUMMYFUNCTION("""COMPUTED_VALUE"""),34.0)</f>
        <v>34</v>
      </c>
      <c r="Y99" s="24"/>
      <c r="Z99" s="24"/>
      <c r="AA99" s="28"/>
      <c r="AB99" s="28"/>
    </row>
    <row r="100">
      <c r="A100" s="21" t="s">
        <v>220</v>
      </c>
      <c r="B100" s="21" t="s">
        <v>221</v>
      </c>
      <c r="C100" s="22">
        <v>45136.0</v>
      </c>
      <c r="D100" s="22" t="str">
        <f t="shared" si="1"/>
        <v>07.2023</v>
      </c>
      <c r="E100" s="22">
        <v>45148.0</v>
      </c>
      <c r="F100" s="21" t="s">
        <v>29</v>
      </c>
      <c r="G100" s="23">
        <v>3.9</v>
      </c>
      <c r="H100" s="24">
        <v>62.0</v>
      </c>
      <c r="I100" s="24">
        <v>1.0</v>
      </c>
      <c r="J100" s="24">
        <v>51.0</v>
      </c>
      <c r="K100" s="21" t="s">
        <v>32</v>
      </c>
      <c r="L100" s="21" t="s">
        <v>47</v>
      </c>
      <c r="M100" s="24">
        <v>1.0</v>
      </c>
      <c r="X100" s="24">
        <f>IFERROR(__xludf.DUMMYFUNCTION("""COMPUTED_VALUE"""),15.0)</f>
        <v>15</v>
      </c>
      <c r="Y100" s="24"/>
      <c r="Z100" s="24"/>
      <c r="AA100" s="28"/>
      <c r="AB100" s="28"/>
    </row>
    <row r="101">
      <c r="A101" s="21" t="s">
        <v>222</v>
      </c>
      <c r="B101" s="21" t="s">
        <v>223</v>
      </c>
      <c r="C101" s="22">
        <v>45094.0</v>
      </c>
      <c r="D101" s="22" t="str">
        <f t="shared" si="1"/>
        <v>06.2023</v>
      </c>
      <c r="E101" s="22">
        <v>45106.0</v>
      </c>
      <c r="F101" s="21" t="s">
        <v>38</v>
      </c>
      <c r="G101" s="23">
        <v>1.5</v>
      </c>
      <c r="H101" s="24">
        <v>93.0</v>
      </c>
      <c r="I101" s="24">
        <v>0.0</v>
      </c>
      <c r="J101" s="24">
        <v>13.0</v>
      </c>
      <c r="K101" s="21" t="s">
        <v>35</v>
      </c>
      <c r="L101" s="21" t="s">
        <v>26</v>
      </c>
      <c r="M101" s="24">
        <v>1.0</v>
      </c>
      <c r="X101" s="24">
        <f>IFERROR(__xludf.DUMMYFUNCTION("""COMPUTED_VALUE"""),47.0)</f>
        <v>47</v>
      </c>
      <c r="Y101" s="24"/>
      <c r="Z101" s="24"/>
      <c r="AA101" s="28"/>
      <c r="AB101" s="28"/>
    </row>
    <row r="102">
      <c r="A102" s="21" t="s">
        <v>224</v>
      </c>
      <c r="B102" s="21" t="s">
        <v>225</v>
      </c>
      <c r="C102" s="22">
        <v>45192.0</v>
      </c>
      <c r="D102" s="22" t="str">
        <f t="shared" si="1"/>
        <v>09.2023</v>
      </c>
      <c r="E102" s="22">
        <v>45204.0</v>
      </c>
      <c r="F102" s="21" t="s">
        <v>22</v>
      </c>
      <c r="G102" s="23">
        <v>0.5</v>
      </c>
      <c r="H102" s="24">
        <v>0.0</v>
      </c>
      <c r="I102" s="24">
        <v>1.0</v>
      </c>
      <c r="J102" s="24">
        <v>49.0</v>
      </c>
      <c r="K102" s="21" t="s">
        <v>23</v>
      </c>
      <c r="L102" s="21" t="s">
        <v>47</v>
      </c>
      <c r="M102" s="24">
        <v>0.0</v>
      </c>
      <c r="X102" s="24">
        <f>IFERROR(__xludf.DUMMYFUNCTION("""COMPUTED_VALUE"""),38.0)</f>
        <v>38</v>
      </c>
      <c r="Y102" s="24"/>
      <c r="Z102" s="24"/>
      <c r="AA102" s="28"/>
      <c r="AB102" s="28"/>
    </row>
    <row r="103">
      <c r="A103" s="21" t="s">
        <v>226</v>
      </c>
      <c r="B103" s="21" t="s">
        <v>227</v>
      </c>
      <c r="C103" s="22">
        <v>45290.0</v>
      </c>
      <c r="D103" s="22" t="str">
        <f t="shared" si="1"/>
        <v>12.2023</v>
      </c>
      <c r="E103" s="22">
        <v>45302.0</v>
      </c>
      <c r="F103" s="21" t="s">
        <v>38</v>
      </c>
      <c r="G103" s="23">
        <v>4.9</v>
      </c>
      <c r="H103" s="24">
        <v>100.0</v>
      </c>
      <c r="I103" s="24">
        <v>1.0</v>
      </c>
      <c r="J103" s="24">
        <v>34.0</v>
      </c>
      <c r="K103" s="21" t="s">
        <v>19</v>
      </c>
      <c r="L103" s="21" t="s">
        <v>16</v>
      </c>
      <c r="M103" s="24">
        <v>0.0</v>
      </c>
      <c r="X103" s="24">
        <f>IFERROR(__xludf.DUMMYFUNCTION("""COMPUTED_VALUE"""),45.0)</f>
        <v>45</v>
      </c>
      <c r="Y103" s="24"/>
      <c r="Z103" s="24"/>
      <c r="AA103" s="28"/>
      <c r="AB103" s="28"/>
    </row>
    <row r="104">
      <c r="A104" s="21" t="s">
        <v>228</v>
      </c>
      <c r="B104" s="21" t="s">
        <v>229</v>
      </c>
      <c r="C104" s="22">
        <v>45209.0</v>
      </c>
      <c r="D104" s="22" t="str">
        <f t="shared" si="1"/>
        <v>10.2023</v>
      </c>
      <c r="E104" s="22">
        <v>45221.0</v>
      </c>
      <c r="F104" s="21" t="s">
        <v>14</v>
      </c>
      <c r="G104" s="23">
        <v>3.4</v>
      </c>
      <c r="H104" s="24">
        <v>92.0</v>
      </c>
      <c r="I104" s="24">
        <v>1.0</v>
      </c>
      <c r="J104" s="24">
        <v>44.0</v>
      </c>
      <c r="K104" s="21" t="s">
        <v>19</v>
      </c>
      <c r="L104" s="21" t="s">
        <v>26</v>
      </c>
      <c r="M104" s="24">
        <v>0.0</v>
      </c>
      <c r="X104" s="24">
        <f>IFERROR(__xludf.DUMMYFUNCTION("""COMPUTED_VALUE"""),36.0)</f>
        <v>36</v>
      </c>
      <c r="Y104" s="24"/>
      <c r="Z104" s="24"/>
      <c r="AA104" s="28"/>
      <c r="AB104" s="28"/>
    </row>
    <row r="105">
      <c r="A105" s="21" t="s">
        <v>230</v>
      </c>
      <c r="B105" s="21" t="s">
        <v>231</v>
      </c>
      <c r="C105" s="22">
        <v>45203.0</v>
      </c>
      <c r="D105" s="22" t="str">
        <f t="shared" si="1"/>
        <v>10.2023</v>
      </c>
      <c r="E105" s="22">
        <v>45215.0</v>
      </c>
      <c r="F105" s="21" t="s">
        <v>14</v>
      </c>
      <c r="G105" s="23">
        <v>0.4</v>
      </c>
      <c r="H105" s="24">
        <v>30.0</v>
      </c>
      <c r="I105" s="24">
        <v>0.0</v>
      </c>
      <c r="J105" s="24">
        <v>48.0</v>
      </c>
      <c r="K105" s="21" t="s">
        <v>15</v>
      </c>
      <c r="L105" s="21" t="s">
        <v>26</v>
      </c>
      <c r="M105" s="24">
        <v>0.0</v>
      </c>
      <c r="X105" s="24">
        <f>IFERROR(__xludf.DUMMYFUNCTION("""COMPUTED_VALUE"""),49.0)</f>
        <v>49</v>
      </c>
      <c r="Y105" s="24"/>
      <c r="Z105" s="24"/>
      <c r="AA105" s="28"/>
      <c r="AB105" s="28"/>
    </row>
    <row r="106">
      <c r="A106" s="21" t="s">
        <v>232</v>
      </c>
      <c r="B106" s="21" t="s">
        <v>233</v>
      </c>
      <c r="C106" s="22">
        <v>45033.0</v>
      </c>
      <c r="D106" s="22" t="str">
        <f t="shared" si="1"/>
        <v>04.2023</v>
      </c>
      <c r="E106" s="22">
        <v>45045.0</v>
      </c>
      <c r="F106" s="21" t="s">
        <v>14</v>
      </c>
      <c r="G106" s="23">
        <v>3.0</v>
      </c>
      <c r="H106" s="24">
        <v>41.0</v>
      </c>
      <c r="I106" s="24">
        <v>1.0</v>
      </c>
      <c r="J106" s="24">
        <v>27.0</v>
      </c>
      <c r="K106" s="21" t="s">
        <v>19</v>
      </c>
      <c r="L106" s="21" t="s">
        <v>16</v>
      </c>
      <c r="M106" s="24">
        <v>0.0</v>
      </c>
      <c r="X106" s="24">
        <f>IFERROR(__xludf.DUMMYFUNCTION("""COMPUTED_VALUE"""),23.0)</f>
        <v>23</v>
      </c>
      <c r="Y106" s="24"/>
      <c r="Z106" s="24"/>
      <c r="AA106" s="28"/>
      <c r="AB106" s="28"/>
    </row>
    <row r="107">
      <c r="A107" s="21" t="s">
        <v>234</v>
      </c>
      <c r="B107" s="21" t="s">
        <v>235</v>
      </c>
      <c r="C107" s="22">
        <v>45249.0</v>
      </c>
      <c r="D107" s="22" t="str">
        <f t="shared" si="1"/>
        <v>11.2023</v>
      </c>
      <c r="E107" s="22">
        <v>45261.0</v>
      </c>
      <c r="F107" s="21" t="s">
        <v>14</v>
      </c>
      <c r="G107" s="23">
        <v>1.0</v>
      </c>
      <c r="H107" s="24">
        <v>32.0</v>
      </c>
      <c r="I107" s="24">
        <v>1.0</v>
      </c>
      <c r="J107" s="24">
        <v>32.0</v>
      </c>
      <c r="K107" s="21" t="s">
        <v>35</v>
      </c>
      <c r="L107" s="21" t="s">
        <v>26</v>
      </c>
      <c r="M107" s="24">
        <v>0.0</v>
      </c>
      <c r="X107" s="24">
        <f>IFERROR(__xludf.DUMMYFUNCTION("""COMPUTED_VALUE"""),50.0)</f>
        <v>50</v>
      </c>
      <c r="Y107" s="24"/>
      <c r="Z107" s="24"/>
      <c r="AA107" s="28"/>
      <c r="AB107" s="28"/>
    </row>
    <row r="108">
      <c r="A108" s="21" t="s">
        <v>236</v>
      </c>
      <c r="B108" s="21" t="s">
        <v>237</v>
      </c>
      <c r="C108" s="22">
        <v>44979.0</v>
      </c>
      <c r="D108" s="22" t="str">
        <f t="shared" si="1"/>
        <v>02.2023</v>
      </c>
      <c r="E108" s="22">
        <v>44991.0</v>
      </c>
      <c r="F108" s="21" t="s">
        <v>38</v>
      </c>
      <c r="G108" s="23">
        <v>0.2</v>
      </c>
      <c r="H108" s="24">
        <v>31.0</v>
      </c>
      <c r="I108" s="24">
        <v>0.0</v>
      </c>
      <c r="J108" s="24">
        <v>15.0</v>
      </c>
      <c r="K108" s="21" t="s">
        <v>23</v>
      </c>
      <c r="L108" s="21" t="s">
        <v>16</v>
      </c>
      <c r="M108" s="24">
        <v>1.0</v>
      </c>
      <c r="X108" s="24">
        <f>IFERROR(__xludf.DUMMYFUNCTION("""COMPUTED_VALUE"""),56.0)</f>
        <v>56</v>
      </c>
      <c r="Y108" s="24"/>
      <c r="Z108" s="24"/>
      <c r="AA108" s="28"/>
      <c r="AB108" s="28"/>
    </row>
    <row r="109">
      <c r="A109" s="21" t="s">
        <v>238</v>
      </c>
      <c r="B109" s="21" t="s">
        <v>239</v>
      </c>
      <c r="C109" s="22">
        <v>45222.0</v>
      </c>
      <c r="D109" s="22" t="str">
        <f t="shared" si="1"/>
        <v>10.2023</v>
      </c>
      <c r="E109" s="22">
        <v>45234.0</v>
      </c>
      <c r="F109" s="21" t="s">
        <v>29</v>
      </c>
      <c r="G109" s="23">
        <v>0.1</v>
      </c>
      <c r="H109" s="24">
        <v>14.0</v>
      </c>
      <c r="I109" s="24">
        <v>1.0</v>
      </c>
      <c r="J109" s="24">
        <v>12.0</v>
      </c>
      <c r="K109" s="21" t="s">
        <v>32</v>
      </c>
      <c r="L109" s="21" t="s">
        <v>26</v>
      </c>
      <c r="M109" s="24">
        <v>0.0</v>
      </c>
      <c r="X109" s="24">
        <f>IFERROR(__xludf.DUMMYFUNCTION("""COMPUTED_VALUE"""),33.0)</f>
        <v>33</v>
      </c>
      <c r="Y109" s="24"/>
      <c r="Z109" s="24"/>
      <c r="AA109" s="28"/>
      <c r="AB109" s="28"/>
    </row>
    <row r="110">
      <c r="A110" s="21" t="s">
        <v>240</v>
      </c>
      <c r="B110" s="21" t="s">
        <v>241</v>
      </c>
      <c r="C110" s="22">
        <v>45266.0</v>
      </c>
      <c r="D110" s="22" t="str">
        <f t="shared" si="1"/>
        <v>12.2023</v>
      </c>
      <c r="E110" s="22">
        <v>45278.0</v>
      </c>
      <c r="F110" s="21" t="s">
        <v>29</v>
      </c>
      <c r="G110" s="23">
        <v>3.1</v>
      </c>
      <c r="H110" s="24">
        <v>36.0</v>
      </c>
      <c r="I110" s="24">
        <v>0.0</v>
      </c>
      <c r="J110" s="24">
        <v>24.0</v>
      </c>
      <c r="K110" s="21" t="s">
        <v>19</v>
      </c>
      <c r="L110" s="21" t="s">
        <v>26</v>
      </c>
      <c r="M110" s="24">
        <v>1.0</v>
      </c>
      <c r="X110" s="24">
        <f>IFERROR(__xludf.DUMMYFUNCTION("""COMPUTED_VALUE"""),53.0)</f>
        <v>53</v>
      </c>
      <c r="Y110" s="24"/>
      <c r="Z110" s="24"/>
      <c r="AA110" s="28"/>
      <c r="AB110" s="28"/>
    </row>
    <row r="111">
      <c r="A111" s="21" t="s">
        <v>242</v>
      </c>
      <c r="B111" s="21" t="s">
        <v>243</v>
      </c>
      <c r="C111" s="22">
        <v>45062.0</v>
      </c>
      <c r="D111" s="22" t="str">
        <f t="shared" si="1"/>
        <v>05.2023</v>
      </c>
      <c r="E111" s="22">
        <v>45074.0</v>
      </c>
      <c r="F111" s="21" t="s">
        <v>29</v>
      </c>
      <c r="G111" s="23">
        <v>0.0</v>
      </c>
      <c r="H111" s="24">
        <v>66.0</v>
      </c>
      <c r="I111" s="24">
        <v>1.0</v>
      </c>
      <c r="J111" s="24">
        <v>17.0</v>
      </c>
      <c r="K111" s="21" t="s">
        <v>32</v>
      </c>
      <c r="L111" s="21" t="s">
        <v>16</v>
      </c>
      <c r="M111" s="24">
        <v>1.0</v>
      </c>
      <c r="X111" s="24">
        <f>IFERROR(__xludf.DUMMYFUNCTION("""COMPUTED_VALUE"""),28.0)</f>
        <v>28</v>
      </c>
      <c r="Y111" s="24"/>
      <c r="Z111" s="24"/>
      <c r="AA111" s="28"/>
      <c r="AB111" s="28"/>
    </row>
    <row r="112">
      <c r="A112" s="21" t="s">
        <v>244</v>
      </c>
      <c r="B112" s="21" t="s">
        <v>245</v>
      </c>
      <c r="C112" s="22">
        <v>44958.0</v>
      </c>
      <c r="D112" s="22" t="str">
        <f t="shared" si="1"/>
        <v>02.2023</v>
      </c>
      <c r="E112" s="22">
        <v>44970.0</v>
      </c>
      <c r="F112" s="21" t="s">
        <v>14</v>
      </c>
      <c r="G112" s="23">
        <v>3.9</v>
      </c>
      <c r="H112" s="24">
        <v>39.0</v>
      </c>
      <c r="I112" s="24">
        <v>0.0</v>
      </c>
      <c r="J112" s="24">
        <v>21.0</v>
      </c>
      <c r="K112" s="21" t="s">
        <v>19</v>
      </c>
      <c r="L112" s="21" t="s">
        <v>47</v>
      </c>
      <c r="M112" s="24">
        <v>1.0</v>
      </c>
      <c r="X112" s="24">
        <f>IFERROR(__xludf.DUMMYFUNCTION("""COMPUTED_VALUE"""),22.0)</f>
        <v>22</v>
      </c>
      <c r="Y112" s="24"/>
      <c r="Z112" s="24"/>
      <c r="AA112" s="28"/>
      <c r="AB112" s="28"/>
    </row>
    <row r="113">
      <c r="A113" s="21" t="s">
        <v>246</v>
      </c>
      <c r="B113" s="21" t="s">
        <v>247</v>
      </c>
      <c r="C113" s="22">
        <v>45023.0</v>
      </c>
      <c r="D113" s="22" t="str">
        <f t="shared" si="1"/>
        <v>04.2023</v>
      </c>
      <c r="E113" s="22">
        <v>45035.0</v>
      </c>
      <c r="F113" s="21" t="s">
        <v>29</v>
      </c>
      <c r="G113" s="23">
        <v>4.8</v>
      </c>
      <c r="H113" s="24">
        <v>12.0</v>
      </c>
      <c r="I113" s="24">
        <v>1.0</v>
      </c>
      <c r="J113" s="24">
        <v>26.0</v>
      </c>
      <c r="K113" s="21" t="s">
        <v>32</v>
      </c>
      <c r="L113" s="21" t="s">
        <v>26</v>
      </c>
      <c r="M113" s="24">
        <v>0.0</v>
      </c>
      <c r="X113" s="24">
        <f>IFERROR(__xludf.DUMMYFUNCTION("""COMPUTED_VALUE"""),12.0)</f>
        <v>12</v>
      </c>
      <c r="Y113" s="24"/>
      <c r="Z113" s="24"/>
      <c r="AA113" s="28"/>
      <c r="AB113" s="28"/>
    </row>
    <row r="114">
      <c r="A114" s="21" t="s">
        <v>248</v>
      </c>
      <c r="B114" s="21" t="s">
        <v>249</v>
      </c>
      <c r="C114" s="22">
        <v>45123.0</v>
      </c>
      <c r="D114" s="22" t="str">
        <f t="shared" si="1"/>
        <v>07.2023</v>
      </c>
      <c r="E114" s="22">
        <v>45135.0</v>
      </c>
      <c r="F114" s="21" t="s">
        <v>14</v>
      </c>
      <c r="G114" s="23">
        <v>4.5</v>
      </c>
      <c r="H114" s="24">
        <v>9.0</v>
      </c>
      <c r="I114" s="24">
        <v>0.0</v>
      </c>
      <c r="J114" s="24">
        <v>53.0</v>
      </c>
      <c r="K114" s="21" t="s">
        <v>35</v>
      </c>
      <c r="L114" s="21" t="s">
        <v>47</v>
      </c>
      <c r="M114" s="24">
        <v>0.0</v>
      </c>
      <c r="X114" s="24">
        <f>IFERROR(__xludf.DUMMYFUNCTION("""COMPUTED_VALUE"""),38.0)</f>
        <v>38</v>
      </c>
      <c r="Y114" s="24"/>
      <c r="Z114" s="24"/>
      <c r="AA114" s="28"/>
      <c r="AB114" s="28"/>
    </row>
    <row r="115">
      <c r="A115" s="21" t="s">
        <v>250</v>
      </c>
      <c r="B115" s="21" t="s">
        <v>251</v>
      </c>
      <c r="C115" s="22">
        <v>45082.0</v>
      </c>
      <c r="D115" s="22" t="str">
        <f t="shared" si="1"/>
        <v>06.2023</v>
      </c>
      <c r="E115" s="22">
        <v>45094.0</v>
      </c>
      <c r="F115" s="21" t="s">
        <v>38</v>
      </c>
      <c r="G115" s="23">
        <v>2.0</v>
      </c>
      <c r="H115" s="24">
        <v>94.0</v>
      </c>
      <c r="I115" s="24">
        <v>1.0</v>
      </c>
      <c r="J115" s="24">
        <v>47.0</v>
      </c>
      <c r="K115" s="21" t="s">
        <v>15</v>
      </c>
      <c r="L115" s="21" t="s">
        <v>16</v>
      </c>
      <c r="M115" s="24">
        <v>1.0</v>
      </c>
      <c r="X115" s="24">
        <f>IFERROR(__xludf.DUMMYFUNCTION("""COMPUTED_VALUE"""),43.0)</f>
        <v>43</v>
      </c>
      <c r="Y115" s="24"/>
      <c r="Z115" s="24"/>
      <c r="AA115" s="28"/>
      <c r="AB115" s="28"/>
    </row>
    <row r="116">
      <c r="A116" s="21" t="s">
        <v>252</v>
      </c>
      <c r="B116" s="21" t="s">
        <v>253</v>
      </c>
      <c r="C116" s="22">
        <v>45079.0</v>
      </c>
      <c r="D116" s="22" t="str">
        <f t="shared" si="1"/>
        <v>06.2023</v>
      </c>
      <c r="E116" s="22">
        <v>45091.0</v>
      </c>
      <c r="F116" s="21" t="s">
        <v>22</v>
      </c>
      <c r="G116" s="23">
        <v>3.3</v>
      </c>
      <c r="H116" s="24">
        <v>42.0</v>
      </c>
      <c r="I116" s="24">
        <v>0.0</v>
      </c>
      <c r="J116" s="24">
        <v>14.0</v>
      </c>
      <c r="K116" s="21" t="s">
        <v>35</v>
      </c>
      <c r="L116" s="21" t="s">
        <v>26</v>
      </c>
      <c r="M116" s="24">
        <v>0.0</v>
      </c>
      <c r="X116" s="24">
        <f>IFERROR(__xludf.DUMMYFUNCTION("""COMPUTED_VALUE"""),19.0)</f>
        <v>19</v>
      </c>
      <c r="Y116" s="24"/>
      <c r="Z116" s="24"/>
      <c r="AA116" s="28"/>
      <c r="AB116" s="28"/>
    </row>
    <row r="117">
      <c r="A117" s="21" t="s">
        <v>254</v>
      </c>
      <c r="B117" s="21" t="s">
        <v>255</v>
      </c>
      <c r="C117" s="22">
        <v>45238.0</v>
      </c>
      <c r="D117" s="22" t="str">
        <f t="shared" si="1"/>
        <v>11.2023</v>
      </c>
      <c r="E117" s="22">
        <v>45250.0</v>
      </c>
      <c r="F117" s="21" t="s">
        <v>14</v>
      </c>
      <c r="G117" s="23">
        <v>4.9</v>
      </c>
      <c r="H117" s="24">
        <v>61.0</v>
      </c>
      <c r="I117" s="24">
        <v>1.0</v>
      </c>
      <c r="J117" s="24">
        <v>28.0</v>
      </c>
      <c r="K117" s="21" t="s">
        <v>35</v>
      </c>
      <c r="L117" s="21" t="s">
        <v>26</v>
      </c>
      <c r="M117" s="24">
        <v>1.0</v>
      </c>
      <c r="X117" s="24">
        <f>IFERROR(__xludf.DUMMYFUNCTION("""COMPUTED_VALUE"""),16.0)</f>
        <v>16</v>
      </c>
      <c r="Y117" s="24"/>
      <c r="Z117" s="24"/>
      <c r="AA117" s="28"/>
      <c r="AB117" s="28"/>
    </row>
    <row r="118">
      <c r="A118" s="21" t="s">
        <v>256</v>
      </c>
      <c r="B118" s="21" t="s">
        <v>257</v>
      </c>
      <c r="C118" s="22">
        <v>45063.0</v>
      </c>
      <c r="D118" s="22" t="str">
        <f t="shared" si="1"/>
        <v>05.2023</v>
      </c>
      <c r="E118" s="22">
        <v>45075.0</v>
      </c>
      <c r="F118" s="21" t="s">
        <v>29</v>
      </c>
      <c r="G118" s="23">
        <v>2.4</v>
      </c>
      <c r="H118" s="24">
        <v>46.0</v>
      </c>
      <c r="I118" s="24">
        <v>0.0</v>
      </c>
      <c r="J118" s="24">
        <v>35.0</v>
      </c>
      <c r="K118" s="21" t="s">
        <v>32</v>
      </c>
      <c r="L118" s="21" t="s">
        <v>26</v>
      </c>
      <c r="M118" s="24">
        <v>1.0</v>
      </c>
      <c r="X118" s="24">
        <f>IFERROR(__xludf.DUMMYFUNCTION("""COMPUTED_VALUE"""),13.0)</f>
        <v>13</v>
      </c>
      <c r="Y118" s="24"/>
      <c r="Z118" s="24"/>
      <c r="AA118" s="28"/>
      <c r="AB118" s="28"/>
    </row>
    <row r="119">
      <c r="A119" s="21" t="s">
        <v>258</v>
      </c>
      <c r="B119" s="21" t="s">
        <v>259</v>
      </c>
      <c r="C119" s="22">
        <v>44971.0</v>
      </c>
      <c r="D119" s="22" t="str">
        <f t="shared" si="1"/>
        <v>02.2023</v>
      </c>
      <c r="E119" s="22">
        <v>44983.0</v>
      </c>
      <c r="F119" s="21" t="s">
        <v>38</v>
      </c>
      <c r="G119" s="23">
        <v>2.6</v>
      </c>
      <c r="H119" s="24">
        <v>82.0</v>
      </c>
      <c r="I119" s="24">
        <v>0.0</v>
      </c>
      <c r="J119" s="24">
        <v>25.0</v>
      </c>
      <c r="K119" s="21" t="s">
        <v>35</v>
      </c>
      <c r="L119" s="21" t="s">
        <v>16</v>
      </c>
      <c r="M119" s="24">
        <v>1.0</v>
      </c>
      <c r="X119" s="24">
        <f>IFERROR(__xludf.DUMMYFUNCTION("""COMPUTED_VALUE"""),34.0)</f>
        <v>34</v>
      </c>
      <c r="Y119" s="24"/>
      <c r="Z119" s="24"/>
      <c r="AA119" s="28"/>
      <c r="AB119" s="28"/>
    </row>
    <row r="120">
      <c r="A120" s="21" t="s">
        <v>260</v>
      </c>
      <c r="B120" s="21" t="s">
        <v>261</v>
      </c>
      <c r="C120" s="22">
        <v>45236.0</v>
      </c>
      <c r="D120" s="22" t="str">
        <f t="shared" si="1"/>
        <v>11.2023</v>
      </c>
      <c r="E120" s="22">
        <v>45248.0</v>
      </c>
      <c r="F120" s="21" t="s">
        <v>38</v>
      </c>
      <c r="G120" s="23">
        <v>0.7</v>
      </c>
      <c r="H120" s="24">
        <v>69.0</v>
      </c>
      <c r="I120" s="24">
        <v>1.0</v>
      </c>
      <c r="J120" s="24">
        <v>19.0</v>
      </c>
      <c r="K120" s="21" t="s">
        <v>32</v>
      </c>
      <c r="L120" s="21" t="s">
        <v>16</v>
      </c>
      <c r="M120" s="24">
        <v>0.0</v>
      </c>
      <c r="X120" s="24">
        <f>IFERROR(__xludf.DUMMYFUNCTION("""COMPUTED_VALUE"""),30.0)</f>
        <v>30</v>
      </c>
      <c r="Y120" s="24"/>
      <c r="Z120" s="24"/>
      <c r="AA120" s="28"/>
      <c r="AB120" s="28"/>
    </row>
    <row r="121">
      <c r="A121" s="21" t="s">
        <v>262</v>
      </c>
      <c r="B121" s="21" t="s">
        <v>263</v>
      </c>
      <c r="C121" s="22">
        <v>45145.0</v>
      </c>
      <c r="D121" s="22" t="str">
        <f t="shared" si="1"/>
        <v>08.2023</v>
      </c>
      <c r="E121" s="22">
        <v>45157.0</v>
      </c>
      <c r="F121" s="21" t="s">
        <v>29</v>
      </c>
      <c r="G121" s="23">
        <v>1.2</v>
      </c>
      <c r="H121" s="24">
        <v>49.0</v>
      </c>
      <c r="I121" s="24">
        <v>0.0</v>
      </c>
      <c r="J121" s="24">
        <v>37.0</v>
      </c>
      <c r="K121" s="21" t="s">
        <v>35</v>
      </c>
      <c r="L121" s="21" t="s">
        <v>47</v>
      </c>
      <c r="M121" s="24">
        <v>0.0</v>
      </c>
      <c r="X121" s="24">
        <f>IFERROR(__xludf.DUMMYFUNCTION("""COMPUTED_VALUE"""),35.0)</f>
        <v>35</v>
      </c>
      <c r="Y121" s="24"/>
      <c r="Z121" s="24"/>
      <c r="AA121" s="28"/>
      <c r="AB121" s="28"/>
    </row>
    <row r="122">
      <c r="A122" s="21" t="s">
        <v>264</v>
      </c>
      <c r="B122" s="21" t="s">
        <v>265</v>
      </c>
      <c r="C122" s="22">
        <v>44965.0</v>
      </c>
      <c r="D122" s="22" t="str">
        <f t="shared" si="1"/>
        <v>02.2023</v>
      </c>
      <c r="E122" s="22">
        <v>44977.0</v>
      </c>
      <c r="F122" s="21" t="s">
        <v>22</v>
      </c>
      <c r="G122" s="23">
        <v>1.9</v>
      </c>
      <c r="H122" s="24">
        <v>5.0</v>
      </c>
      <c r="I122" s="24">
        <v>0.0</v>
      </c>
      <c r="J122" s="24">
        <v>56.0</v>
      </c>
      <c r="K122" s="21" t="s">
        <v>23</v>
      </c>
      <c r="L122" s="21" t="s">
        <v>47</v>
      </c>
      <c r="M122" s="24">
        <v>1.0</v>
      </c>
      <c r="X122" s="24">
        <f>IFERROR(__xludf.DUMMYFUNCTION("""COMPUTED_VALUE"""),42.0)</f>
        <v>42</v>
      </c>
      <c r="Y122" s="24"/>
      <c r="Z122" s="24"/>
      <c r="AA122" s="28"/>
      <c r="AB122" s="28"/>
    </row>
    <row r="123">
      <c r="A123" s="21" t="s">
        <v>266</v>
      </c>
      <c r="B123" s="21" t="s">
        <v>267</v>
      </c>
      <c r="C123" s="22">
        <v>45082.0</v>
      </c>
      <c r="D123" s="22" t="str">
        <f t="shared" si="1"/>
        <v>06.2023</v>
      </c>
      <c r="E123" s="22">
        <v>45094.0</v>
      </c>
      <c r="F123" s="21" t="s">
        <v>14</v>
      </c>
      <c r="G123" s="23">
        <v>0.3</v>
      </c>
      <c r="H123" s="24">
        <v>68.0</v>
      </c>
      <c r="I123" s="24">
        <v>1.0</v>
      </c>
      <c r="J123" s="24">
        <v>16.0</v>
      </c>
      <c r="K123" s="21" t="s">
        <v>35</v>
      </c>
      <c r="L123" s="21" t="s">
        <v>47</v>
      </c>
      <c r="M123" s="24">
        <v>0.0</v>
      </c>
      <c r="X123" s="24">
        <f>IFERROR(__xludf.DUMMYFUNCTION("""COMPUTED_VALUE"""),37.0)</f>
        <v>37</v>
      </c>
      <c r="Y123" s="24"/>
      <c r="Z123" s="24"/>
      <c r="AA123" s="28"/>
      <c r="AB123" s="28"/>
    </row>
    <row r="124">
      <c r="A124" s="21" t="s">
        <v>268</v>
      </c>
      <c r="B124" s="21" t="s">
        <v>269</v>
      </c>
      <c r="C124" s="22">
        <v>45153.0</v>
      </c>
      <c r="D124" s="22" t="str">
        <f t="shared" si="1"/>
        <v>08.2023</v>
      </c>
      <c r="E124" s="22">
        <v>45165.0</v>
      </c>
      <c r="F124" s="21" t="s">
        <v>22</v>
      </c>
      <c r="G124" s="23">
        <v>1.5</v>
      </c>
      <c r="H124" s="24">
        <v>44.0</v>
      </c>
      <c r="I124" s="24">
        <v>1.0</v>
      </c>
      <c r="J124" s="24">
        <v>20.0</v>
      </c>
      <c r="K124" s="21" t="s">
        <v>23</v>
      </c>
      <c r="L124" s="21" t="s">
        <v>26</v>
      </c>
      <c r="M124" s="24">
        <v>1.0</v>
      </c>
      <c r="X124" s="24">
        <f>IFERROR(__xludf.DUMMYFUNCTION("""COMPUTED_VALUE"""),14.0)</f>
        <v>14</v>
      </c>
      <c r="Y124" s="24"/>
      <c r="Z124" s="24"/>
      <c r="AA124" s="28"/>
      <c r="AB124" s="28"/>
    </row>
    <row r="125">
      <c r="A125" s="21" t="s">
        <v>270</v>
      </c>
      <c r="B125" s="21" t="s">
        <v>271</v>
      </c>
      <c r="C125" s="22">
        <v>44970.0</v>
      </c>
      <c r="D125" s="22" t="str">
        <f t="shared" si="1"/>
        <v>02.2023</v>
      </c>
      <c r="E125" s="22">
        <v>44982.0</v>
      </c>
      <c r="F125" s="21" t="s">
        <v>29</v>
      </c>
      <c r="G125" s="23">
        <v>4.6</v>
      </c>
      <c r="H125" s="24">
        <v>33.0</v>
      </c>
      <c r="I125" s="24">
        <v>0.0</v>
      </c>
      <c r="J125" s="24">
        <v>55.0</v>
      </c>
      <c r="K125" s="21" t="s">
        <v>19</v>
      </c>
      <c r="L125" s="21" t="s">
        <v>47</v>
      </c>
      <c r="M125" s="24">
        <v>1.0</v>
      </c>
      <c r="X125" s="24">
        <f>IFERROR(__xludf.DUMMYFUNCTION("""COMPUTED_VALUE"""),24.0)</f>
        <v>24</v>
      </c>
      <c r="Y125" s="24"/>
      <c r="Z125" s="24"/>
      <c r="AA125" s="28"/>
      <c r="AB125" s="28"/>
    </row>
    <row r="126">
      <c r="A126" s="21" t="s">
        <v>272</v>
      </c>
      <c r="B126" s="21" t="s">
        <v>273</v>
      </c>
      <c r="C126" s="22">
        <v>45166.0</v>
      </c>
      <c r="D126" s="22" t="str">
        <f t="shared" si="1"/>
        <v>08.2023</v>
      </c>
      <c r="E126" s="22">
        <v>45178.0</v>
      </c>
      <c r="F126" s="21" t="s">
        <v>14</v>
      </c>
      <c r="G126" s="23">
        <v>2.3</v>
      </c>
      <c r="H126" s="24">
        <v>50.0</v>
      </c>
      <c r="I126" s="24">
        <v>0.0</v>
      </c>
      <c r="J126" s="24">
        <v>41.0</v>
      </c>
      <c r="K126" s="21" t="s">
        <v>32</v>
      </c>
      <c r="L126" s="21" t="s">
        <v>47</v>
      </c>
      <c r="M126" s="24">
        <v>1.0</v>
      </c>
      <c r="X126" s="24">
        <f>IFERROR(__xludf.DUMMYFUNCTION("""COMPUTED_VALUE"""),17.0)</f>
        <v>17</v>
      </c>
      <c r="Y126" s="24"/>
      <c r="Z126" s="24"/>
      <c r="AA126" s="28"/>
      <c r="AB126" s="28"/>
    </row>
    <row r="127">
      <c r="A127" s="21" t="s">
        <v>274</v>
      </c>
      <c r="B127" s="21" t="s">
        <v>275</v>
      </c>
      <c r="C127" s="22">
        <v>44935.0</v>
      </c>
      <c r="D127" s="22" t="str">
        <f t="shared" si="1"/>
        <v>01.2023</v>
      </c>
      <c r="E127" s="22">
        <v>44947.0</v>
      </c>
      <c r="F127" s="21" t="s">
        <v>14</v>
      </c>
      <c r="G127" s="23">
        <v>3.5</v>
      </c>
      <c r="H127" s="24">
        <v>10.0</v>
      </c>
      <c r="I127" s="24">
        <v>1.0</v>
      </c>
      <c r="J127" s="24">
        <v>42.0</v>
      </c>
      <c r="K127" s="21" t="s">
        <v>23</v>
      </c>
      <c r="L127" s="21" t="s">
        <v>47</v>
      </c>
      <c r="M127" s="24">
        <v>1.0</v>
      </c>
      <c r="X127" s="24">
        <f>IFERROR(__xludf.DUMMYFUNCTION("""COMPUTED_VALUE"""),14.0)</f>
        <v>14</v>
      </c>
      <c r="Y127" s="24"/>
      <c r="Z127" s="24"/>
      <c r="AA127" s="28"/>
      <c r="AB127" s="28"/>
    </row>
    <row r="128">
      <c r="A128" s="21" t="s">
        <v>276</v>
      </c>
      <c r="B128" s="21" t="s">
        <v>277</v>
      </c>
      <c r="C128" s="22">
        <v>45095.0</v>
      </c>
      <c r="D128" s="22" t="str">
        <f t="shared" si="1"/>
        <v>06.2023</v>
      </c>
      <c r="E128" s="22">
        <v>45107.0</v>
      </c>
      <c r="F128" s="21" t="s">
        <v>38</v>
      </c>
      <c r="G128" s="23">
        <v>0.6</v>
      </c>
      <c r="H128" s="24">
        <v>19.0</v>
      </c>
      <c r="I128" s="24">
        <v>0.0</v>
      </c>
      <c r="J128" s="24">
        <v>54.0</v>
      </c>
      <c r="K128" s="21" t="s">
        <v>23</v>
      </c>
      <c r="L128" s="21" t="s">
        <v>26</v>
      </c>
      <c r="M128" s="24">
        <v>1.0</v>
      </c>
      <c r="X128" s="24">
        <f>IFERROR(__xludf.DUMMYFUNCTION("""COMPUTED_VALUE"""),28.0)</f>
        <v>28</v>
      </c>
      <c r="Y128" s="24"/>
      <c r="Z128" s="24"/>
      <c r="AA128" s="28"/>
      <c r="AB128" s="28"/>
    </row>
    <row r="129">
      <c r="A129" s="21" t="s">
        <v>278</v>
      </c>
      <c r="B129" s="21" t="s">
        <v>279</v>
      </c>
      <c r="C129" s="22">
        <v>45047.0</v>
      </c>
      <c r="D129" s="22" t="str">
        <f t="shared" si="1"/>
        <v>05.2023</v>
      </c>
      <c r="E129" s="22">
        <v>45059.0</v>
      </c>
      <c r="F129" s="21" t="s">
        <v>29</v>
      </c>
      <c r="G129" s="23">
        <v>2.1</v>
      </c>
      <c r="H129" s="24">
        <v>47.0</v>
      </c>
      <c r="I129" s="24">
        <v>0.0</v>
      </c>
      <c r="J129" s="24">
        <v>38.0</v>
      </c>
      <c r="K129" s="21" t="s">
        <v>15</v>
      </c>
      <c r="L129" s="21" t="s">
        <v>47</v>
      </c>
      <c r="M129" s="24">
        <v>0.0</v>
      </c>
      <c r="X129" s="24">
        <f>IFERROR(__xludf.DUMMYFUNCTION("""COMPUTED_VALUE"""),50.0)</f>
        <v>50</v>
      </c>
      <c r="Y129" s="24"/>
      <c r="Z129" s="24"/>
      <c r="AA129" s="28"/>
      <c r="AB129" s="28"/>
    </row>
    <row r="130">
      <c r="A130" s="21" t="s">
        <v>280</v>
      </c>
      <c r="B130" s="21" t="s">
        <v>281</v>
      </c>
      <c r="C130" s="22">
        <v>45215.0</v>
      </c>
      <c r="D130" s="22" t="str">
        <f t="shared" si="1"/>
        <v>10.2023</v>
      </c>
      <c r="E130" s="22">
        <v>45227.0</v>
      </c>
      <c r="F130" s="21" t="s">
        <v>38</v>
      </c>
      <c r="G130" s="23">
        <v>3.2</v>
      </c>
      <c r="H130" s="24">
        <v>88.0</v>
      </c>
      <c r="I130" s="24">
        <v>1.0</v>
      </c>
      <c r="J130" s="24">
        <v>46.0</v>
      </c>
      <c r="K130" s="21" t="s">
        <v>32</v>
      </c>
      <c r="L130" s="21" t="s">
        <v>47</v>
      </c>
      <c r="M130" s="24">
        <v>1.0</v>
      </c>
      <c r="X130" s="24">
        <f>IFERROR(__xludf.DUMMYFUNCTION("""COMPUTED_VALUE"""),48.0)</f>
        <v>48</v>
      </c>
      <c r="Y130" s="24"/>
      <c r="Z130" s="24"/>
      <c r="AA130" s="28"/>
      <c r="AB130" s="28"/>
    </row>
    <row r="131">
      <c r="A131" s="21" t="s">
        <v>282</v>
      </c>
      <c r="B131" s="21" t="s">
        <v>283</v>
      </c>
      <c r="C131" s="22">
        <v>45136.0</v>
      </c>
      <c r="D131" s="22" t="str">
        <f t="shared" si="1"/>
        <v>07.2023</v>
      </c>
      <c r="E131" s="22">
        <v>45148.0</v>
      </c>
      <c r="F131" s="21" t="s">
        <v>38</v>
      </c>
      <c r="G131" s="23">
        <v>2.9</v>
      </c>
      <c r="H131" s="24">
        <v>74.0</v>
      </c>
      <c r="I131" s="24">
        <v>1.0</v>
      </c>
      <c r="J131" s="24">
        <v>30.0</v>
      </c>
      <c r="K131" s="21" t="s">
        <v>19</v>
      </c>
      <c r="L131" s="21" t="s">
        <v>47</v>
      </c>
      <c r="M131" s="24">
        <v>1.0</v>
      </c>
      <c r="X131" s="24">
        <f>IFERROR(__xludf.DUMMYFUNCTION("""COMPUTED_VALUE"""),36.0)</f>
        <v>36</v>
      </c>
      <c r="Y131" s="24"/>
      <c r="Z131" s="24"/>
      <c r="AA131" s="28"/>
      <c r="AB131" s="28"/>
    </row>
    <row r="132">
      <c r="A132" s="21" t="s">
        <v>284</v>
      </c>
      <c r="B132" s="21" t="s">
        <v>285</v>
      </c>
      <c r="C132" s="22">
        <v>45131.0</v>
      </c>
      <c r="D132" s="22" t="str">
        <f t="shared" si="1"/>
        <v>07.2023</v>
      </c>
      <c r="E132" s="22">
        <v>45143.0</v>
      </c>
      <c r="F132" s="21" t="s">
        <v>29</v>
      </c>
      <c r="G132" s="23">
        <v>4.2</v>
      </c>
      <c r="H132" s="24">
        <v>45.0</v>
      </c>
      <c r="I132" s="24">
        <v>1.0</v>
      </c>
      <c r="J132" s="24">
        <v>33.0</v>
      </c>
      <c r="K132" s="21" t="s">
        <v>15</v>
      </c>
      <c r="L132" s="21" t="s">
        <v>26</v>
      </c>
      <c r="M132" s="24">
        <v>1.0</v>
      </c>
      <c r="X132" s="24">
        <f>IFERROR(__xludf.DUMMYFUNCTION("""COMPUTED_VALUE"""),20.0)</f>
        <v>20</v>
      </c>
      <c r="Y132" s="24"/>
      <c r="Z132" s="24"/>
      <c r="AA132" s="28"/>
      <c r="AB132" s="28"/>
    </row>
    <row r="133">
      <c r="A133" s="21" t="s">
        <v>286</v>
      </c>
      <c r="B133" s="21" t="s">
        <v>287</v>
      </c>
      <c r="C133" s="22">
        <v>44943.0</v>
      </c>
      <c r="D133" s="22" t="str">
        <f t="shared" si="1"/>
        <v>01.2023</v>
      </c>
      <c r="E133" s="22">
        <v>44955.0</v>
      </c>
      <c r="F133" s="21" t="s">
        <v>14</v>
      </c>
      <c r="G133" s="23">
        <v>2.5</v>
      </c>
      <c r="H133" s="24">
        <v>87.0</v>
      </c>
      <c r="I133" s="24">
        <v>0.0</v>
      </c>
      <c r="J133" s="24">
        <v>29.0</v>
      </c>
      <c r="K133" s="21" t="s">
        <v>19</v>
      </c>
      <c r="L133" s="21" t="s">
        <v>16</v>
      </c>
      <c r="M133" s="24">
        <v>1.0</v>
      </c>
      <c r="X133" s="24">
        <f>IFERROR(__xludf.DUMMYFUNCTION("""COMPUTED_VALUE"""),27.0)</f>
        <v>27</v>
      </c>
      <c r="Y133" s="24"/>
      <c r="Z133" s="24"/>
      <c r="AA133" s="28"/>
      <c r="AB133" s="28"/>
    </row>
    <row r="134">
      <c r="A134" s="21" t="s">
        <v>288</v>
      </c>
      <c r="B134" s="21" t="s">
        <v>289</v>
      </c>
      <c r="C134" s="22">
        <v>45044.0</v>
      </c>
      <c r="D134" s="22" t="str">
        <f t="shared" si="1"/>
        <v>04.2023</v>
      </c>
      <c r="E134" s="22">
        <v>45056.0</v>
      </c>
      <c r="F134" s="21" t="s">
        <v>38</v>
      </c>
      <c r="G134" s="23">
        <v>0.9</v>
      </c>
      <c r="H134" s="24">
        <v>70.0</v>
      </c>
      <c r="I134" s="24">
        <v>1.0</v>
      </c>
      <c r="J134" s="24">
        <v>36.0</v>
      </c>
      <c r="K134" s="21" t="s">
        <v>35</v>
      </c>
      <c r="L134" s="21" t="s">
        <v>47</v>
      </c>
      <c r="M134" s="24">
        <v>1.0</v>
      </c>
      <c r="X134" s="24">
        <f>IFERROR(__xludf.DUMMYFUNCTION("""COMPUTED_VALUE"""),16.0)</f>
        <v>16</v>
      </c>
      <c r="Y134" s="24"/>
      <c r="Z134" s="24"/>
      <c r="AA134" s="28"/>
      <c r="AB134" s="28"/>
    </row>
    <row r="135">
      <c r="A135" s="21" t="s">
        <v>290</v>
      </c>
      <c r="B135" s="21" t="s">
        <v>291</v>
      </c>
      <c r="C135" s="22">
        <v>45175.0</v>
      </c>
      <c r="D135" s="22" t="str">
        <f t="shared" si="1"/>
        <v>09.2023</v>
      </c>
      <c r="E135" s="22">
        <v>45187.0</v>
      </c>
      <c r="F135" s="21" t="s">
        <v>14</v>
      </c>
      <c r="G135" s="23">
        <v>1.7</v>
      </c>
      <c r="H135" s="24">
        <v>8.0</v>
      </c>
      <c r="I135" s="24">
        <v>1.0</v>
      </c>
      <c r="J135" s="24">
        <v>40.0</v>
      </c>
      <c r="K135" s="21" t="s">
        <v>35</v>
      </c>
      <c r="L135" s="21" t="s">
        <v>26</v>
      </c>
      <c r="M135" s="24">
        <v>1.0</v>
      </c>
      <c r="X135" s="24">
        <f>IFERROR(__xludf.DUMMYFUNCTION("""COMPUTED_VALUE"""),23.0)</f>
        <v>23</v>
      </c>
      <c r="Y135" s="24"/>
      <c r="Z135" s="24"/>
      <c r="AA135" s="28"/>
      <c r="AB135" s="28"/>
    </row>
    <row r="136">
      <c r="A136" s="21" t="s">
        <v>292</v>
      </c>
      <c r="B136" s="21" t="s">
        <v>293</v>
      </c>
      <c r="C136" s="22">
        <v>45258.0</v>
      </c>
      <c r="D136" s="22" t="str">
        <f t="shared" si="1"/>
        <v>11.2023</v>
      </c>
      <c r="E136" s="22">
        <v>45270.0</v>
      </c>
      <c r="F136" s="21" t="s">
        <v>29</v>
      </c>
      <c r="G136" s="23">
        <v>4.4</v>
      </c>
      <c r="H136" s="24">
        <v>99.0</v>
      </c>
      <c r="I136" s="24">
        <v>0.0</v>
      </c>
      <c r="J136" s="24">
        <v>23.0</v>
      </c>
      <c r="K136" s="21" t="s">
        <v>19</v>
      </c>
      <c r="L136" s="21" t="s">
        <v>47</v>
      </c>
      <c r="M136" s="24">
        <v>0.0</v>
      </c>
      <c r="X136" s="24">
        <f>IFERROR(__xludf.DUMMYFUNCTION("""COMPUTED_VALUE"""),38.0)</f>
        <v>38</v>
      </c>
      <c r="Y136" s="24"/>
      <c r="Z136" s="24"/>
      <c r="AA136" s="28"/>
      <c r="AB136" s="28"/>
    </row>
    <row r="137">
      <c r="A137" s="21" t="s">
        <v>294</v>
      </c>
      <c r="B137" s="21" t="s">
        <v>295</v>
      </c>
      <c r="C137" s="22">
        <v>45006.0</v>
      </c>
      <c r="D137" s="22" t="str">
        <f t="shared" si="1"/>
        <v>03.2023</v>
      </c>
      <c r="E137" s="22">
        <v>45018.0</v>
      </c>
      <c r="F137" s="21" t="s">
        <v>38</v>
      </c>
      <c r="G137" s="23">
        <v>1.3</v>
      </c>
      <c r="H137" s="24">
        <v>56.0</v>
      </c>
      <c r="I137" s="24">
        <v>0.0</v>
      </c>
      <c r="J137" s="24">
        <v>50.0</v>
      </c>
      <c r="K137" s="21" t="s">
        <v>23</v>
      </c>
      <c r="L137" s="21" t="s">
        <v>16</v>
      </c>
      <c r="M137" s="24">
        <v>1.0</v>
      </c>
      <c r="X137" s="24">
        <f>IFERROR(__xludf.DUMMYFUNCTION("""COMPUTED_VALUE"""),49.0)</f>
        <v>49</v>
      </c>
      <c r="Y137" s="24"/>
      <c r="Z137" s="24"/>
      <c r="AA137" s="28"/>
      <c r="AB137" s="28"/>
    </row>
    <row r="138">
      <c r="A138" s="21" t="s">
        <v>296</v>
      </c>
      <c r="B138" s="21" t="s">
        <v>297</v>
      </c>
      <c r="C138" s="22">
        <v>45147.0</v>
      </c>
      <c r="D138" s="22" t="str">
        <f t="shared" si="1"/>
        <v>08.2023</v>
      </c>
      <c r="E138" s="22">
        <v>45159.0</v>
      </c>
      <c r="F138" s="21" t="s">
        <v>29</v>
      </c>
      <c r="G138" s="23">
        <v>3.7</v>
      </c>
      <c r="H138" s="24">
        <v>58.0</v>
      </c>
      <c r="I138" s="24">
        <v>0.0</v>
      </c>
      <c r="J138" s="24">
        <v>55.0</v>
      </c>
      <c r="K138" s="21" t="s">
        <v>19</v>
      </c>
      <c r="L138" s="21" t="s">
        <v>26</v>
      </c>
      <c r="M138" s="24">
        <v>1.0</v>
      </c>
      <c r="X138" s="24">
        <f>IFERROR(__xludf.DUMMYFUNCTION("""COMPUTED_VALUE"""),25.0)</f>
        <v>25</v>
      </c>
      <c r="Y138" s="24"/>
      <c r="Z138" s="24"/>
      <c r="AA138" s="28"/>
      <c r="AB138" s="28"/>
    </row>
    <row r="139">
      <c r="A139" s="21" t="s">
        <v>298</v>
      </c>
      <c r="B139" s="21" t="s">
        <v>299</v>
      </c>
      <c r="C139" s="22">
        <v>44978.0</v>
      </c>
      <c r="D139" s="22" t="str">
        <f t="shared" si="1"/>
        <v>02.2023</v>
      </c>
      <c r="E139" s="22">
        <v>44990.0</v>
      </c>
      <c r="F139" s="21" t="s">
        <v>14</v>
      </c>
      <c r="G139" s="23">
        <v>2.7</v>
      </c>
      <c r="H139" s="24">
        <v>21.0</v>
      </c>
      <c r="I139" s="24">
        <v>1.0</v>
      </c>
      <c r="J139" s="24">
        <v>20.0</v>
      </c>
      <c r="K139" s="21" t="s">
        <v>23</v>
      </c>
      <c r="L139" s="21" t="s">
        <v>26</v>
      </c>
      <c r="M139" s="24">
        <v>1.0</v>
      </c>
      <c r="X139" s="24">
        <f>IFERROR(__xludf.DUMMYFUNCTION("""COMPUTED_VALUE"""),34.0)</f>
        <v>34</v>
      </c>
      <c r="Y139" s="24"/>
      <c r="Z139" s="24"/>
      <c r="AA139" s="28"/>
      <c r="AB139" s="28"/>
    </row>
    <row r="140">
      <c r="A140" s="21" t="s">
        <v>300</v>
      </c>
      <c r="B140" s="21" t="s">
        <v>301</v>
      </c>
      <c r="C140" s="22">
        <v>45147.0</v>
      </c>
      <c r="D140" s="22" t="str">
        <f t="shared" si="1"/>
        <v>08.2023</v>
      </c>
      <c r="E140" s="22">
        <v>45159.0</v>
      </c>
      <c r="F140" s="21" t="s">
        <v>22</v>
      </c>
      <c r="G140" s="23">
        <v>4.7</v>
      </c>
      <c r="H140" s="24">
        <v>35.0</v>
      </c>
      <c r="I140" s="24">
        <v>1.0</v>
      </c>
      <c r="J140" s="24">
        <v>45.0</v>
      </c>
      <c r="K140" s="21" t="s">
        <v>23</v>
      </c>
      <c r="L140" s="21" t="s">
        <v>26</v>
      </c>
      <c r="M140" s="24">
        <v>1.0</v>
      </c>
      <c r="X140" s="24">
        <f>IFERROR(__xludf.DUMMYFUNCTION("""COMPUTED_VALUE"""),24.0)</f>
        <v>24</v>
      </c>
      <c r="Y140" s="24"/>
      <c r="Z140" s="24"/>
      <c r="AA140" s="28"/>
      <c r="AB140" s="28"/>
    </row>
    <row r="141">
      <c r="A141" s="21" t="s">
        <v>302</v>
      </c>
      <c r="B141" s="21" t="s">
        <v>303</v>
      </c>
      <c r="C141" s="22">
        <v>44987.0</v>
      </c>
      <c r="D141" s="22" t="str">
        <f t="shared" si="1"/>
        <v>03.2023</v>
      </c>
      <c r="E141" s="22">
        <v>44999.0</v>
      </c>
      <c r="F141" s="21" t="s">
        <v>38</v>
      </c>
      <c r="G141" s="23">
        <v>1.4</v>
      </c>
      <c r="H141" s="24">
        <v>43.0</v>
      </c>
      <c r="I141" s="24">
        <v>0.0</v>
      </c>
      <c r="J141" s="24">
        <v>29.0</v>
      </c>
      <c r="K141" s="21" t="s">
        <v>32</v>
      </c>
      <c r="L141" s="21" t="s">
        <v>16</v>
      </c>
      <c r="M141" s="24">
        <v>1.0</v>
      </c>
      <c r="X141" s="24">
        <f>IFERROR(__xludf.DUMMYFUNCTION("""COMPUTED_VALUE"""),47.0)</f>
        <v>47</v>
      </c>
      <c r="Y141" s="24"/>
      <c r="Z141" s="24"/>
      <c r="AA141" s="28"/>
      <c r="AB141" s="28"/>
    </row>
    <row r="142">
      <c r="A142" s="21" t="s">
        <v>304</v>
      </c>
      <c r="B142" s="21" t="s">
        <v>305</v>
      </c>
      <c r="C142" s="22">
        <v>44945.0</v>
      </c>
      <c r="D142" s="22" t="str">
        <f t="shared" si="1"/>
        <v>01.2023</v>
      </c>
      <c r="E142" s="22">
        <v>44957.0</v>
      </c>
      <c r="F142" s="21" t="s">
        <v>22</v>
      </c>
      <c r="G142" s="23">
        <v>4.1</v>
      </c>
      <c r="H142" s="24">
        <v>15.0</v>
      </c>
      <c r="I142" s="24">
        <v>1.0</v>
      </c>
      <c r="J142" s="24">
        <v>44.0</v>
      </c>
      <c r="K142" s="21" t="s">
        <v>19</v>
      </c>
      <c r="L142" s="21" t="s">
        <v>26</v>
      </c>
      <c r="M142" s="24">
        <v>0.0</v>
      </c>
      <c r="X142" s="24">
        <f>IFERROR(__xludf.DUMMYFUNCTION("""COMPUTED_VALUE"""),26.0)</f>
        <v>26</v>
      </c>
      <c r="Y142" s="24"/>
      <c r="Z142" s="24"/>
      <c r="AA142" s="28"/>
      <c r="AB142" s="28"/>
    </row>
    <row r="143">
      <c r="A143" s="21" t="s">
        <v>306</v>
      </c>
      <c r="B143" s="21" t="s">
        <v>307</v>
      </c>
      <c r="C143" s="22">
        <v>45136.0</v>
      </c>
      <c r="D143" s="22" t="str">
        <f t="shared" si="1"/>
        <v>07.2023</v>
      </c>
      <c r="E143" s="22">
        <v>45148.0</v>
      </c>
      <c r="F143" s="21" t="s">
        <v>29</v>
      </c>
      <c r="G143" s="23">
        <v>2.2</v>
      </c>
      <c r="H143" s="24">
        <v>85.0</v>
      </c>
      <c r="I143" s="24">
        <v>1.0</v>
      </c>
      <c r="J143" s="24">
        <v>21.0</v>
      </c>
      <c r="K143" s="21" t="s">
        <v>32</v>
      </c>
      <c r="L143" s="21" t="s">
        <v>26</v>
      </c>
      <c r="M143" s="24">
        <v>1.0</v>
      </c>
      <c r="X143" s="24">
        <f>IFERROR(__xludf.DUMMYFUNCTION("""COMPUTED_VALUE"""),40.0)</f>
        <v>40</v>
      </c>
      <c r="Y143" s="24"/>
      <c r="Z143" s="24"/>
      <c r="AA143" s="28"/>
      <c r="AB143" s="28"/>
    </row>
    <row r="144">
      <c r="A144" s="21" t="s">
        <v>308</v>
      </c>
      <c r="B144" s="21" t="s">
        <v>309</v>
      </c>
      <c r="C144" s="22">
        <v>45080.0</v>
      </c>
      <c r="D144" s="22" t="str">
        <f t="shared" si="1"/>
        <v>06.2023</v>
      </c>
      <c r="E144" s="22">
        <v>45092.0</v>
      </c>
      <c r="F144" s="21" t="s">
        <v>22</v>
      </c>
      <c r="G144" s="23">
        <v>0.5</v>
      </c>
      <c r="H144" s="24">
        <v>72.0</v>
      </c>
      <c r="I144" s="24">
        <v>1.0</v>
      </c>
      <c r="J144" s="24">
        <v>53.0</v>
      </c>
      <c r="K144" s="21" t="s">
        <v>35</v>
      </c>
      <c r="L144" s="21" t="s">
        <v>16</v>
      </c>
      <c r="M144" s="24">
        <v>0.0</v>
      </c>
      <c r="X144" s="24">
        <f>IFERROR(__xludf.DUMMYFUNCTION("""COMPUTED_VALUE"""),53.0)</f>
        <v>53</v>
      </c>
      <c r="Y144" s="24"/>
      <c r="Z144" s="24"/>
      <c r="AA144" s="28"/>
      <c r="AB144" s="28"/>
    </row>
    <row r="145">
      <c r="A145" s="21" t="s">
        <v>310</v>
      </c>
      <c r="B145" s="21" t="s">
        <v>311</v>
      </c>
      <c r="C145" s="22">
        <v>44967.0</v>
      </c>
      <c r="D145" s="22" t="str">
        <f t="shared" si="1"/>
        <v>02.2023</v>
      </c>
      <c r="E145" s="22">
        <v>44979.0</v>
      </c>
      <c r="F145" s="21" t="s">
        <v>38</v>
      </c>
      <c r="G145" s="23">
        <v>1.1</v>
      </c>
      <c r="H145" s="24">
        <v>25.0</v>
      </c>
      <c r="I145" s="24">
        <v>0.0</v>
      </c>
      <c r="J145" s="24">
        <v>43.0</v>
      </c>
      <c r="K145" s="21" t="s">
        <v>35</v>
      </c>
      <c r="L145" s="21" t="s">
        <v>16</v>
      </c>
      <c r="M145" s="24">
        <v>1.0</v>
      </c>
      <c r="X145" s="24">
        <f>IFERROR(__xludf.DUMMYFUNCTION("""COMPUTED_VALUE"""),43.0)</f>
        <v>43</v>
      </c>
      <c r="Y145" s="24"/>
      <c r="Z145" s="24"/>
      <c r="AA145" s="28"/>
      <c r="AB145" s="28"/>
    </row>
    <row r="146">
      <c r="A146" s="21" t="s">
        <v>312</v>
      </c>
      <c r="B146" s="21" t="s">
        <v>313</v>
      </c>
      <c r="C146" s="22">
        <v>45187.0</v>
      </c>
      <c r="D146" s="22" t="str">
        <f t="shared" si="1"/>
        <v>09.2023</v>
      </c>
      <c r="E146" s="22">
        <v>45199.0</v>
      </c>
      <c r="F146" s="21" t="s">
        <v>22</v>
      </c>
      <c r="G146" s="23">
        <v>3.8</v>
      </c>
      <c r="H146" s="24">
        <v>17.0</v>
      </c>
      <c r="I146" s="24">
        <v>1.0</v>
      </c>
      <c r="J146" s="24">
        <v>30.0</v>
      </c>
      <c r="K146" s="21" t="s">
        <v>15</v>
      </c>
      <c r="L146" s="21" t="s">
        <v>16</v>
      </c>
      <c r="M146" s="24">
        <v>0.0</v>
      </c>
      <c r="X146" s="24">
        <f>IFERROR(__xludf.DUMMYFUNCTION("""COMPUTED_VALUE"""),52.0)</f>
        <v>52</v>
      </c>
      <c r="Y146" s="24"/>
      <c r="Z146" s="24"/>
      <c r="AA146" s="28"/>
      <c r="AB146" s="28"/>
    </row>
    <row r="147">
      <c r="A147" s="21" t="s">
        <v>314</v>
      </c>
      <c r="B147" s="21" t="s">
        <v>315</v>
      </c>
      <c r="C147" s="22">
        <v>45024.0</v>
      </c>
      <c r="D147" s="22" t="str">
        <f t="shared" si="1"/>
        <v>04.2023</v>
      </c>
      <c r="E147" s="22">
        <v>45036.0</v>
      </c>
      <c r="F147" s="21" t="s">
        <v>38</v>
      </c>
      <c r="G147" s="23">
        <v>0.8</v>
      </c>
      <c r="H147" s="24">
        <v>62.0</v>
      </c>
      <c r="I147" s="24">
        <v>0.0</v>
      </c>
      <c r="J147" s="24">
        <v>51.0</v>
      </c>
      <c r="K147" s="21" t="s">
        <v>23</v>
      </c>
      <c r="L147" s="21" t="s">
        <v>47</v>
      </c>
      <c r="M147" s="24">
        <v>0.0</v>
      </c>
      <c r="X147" s="24">
        <f>IFERROR(__xludf.DUMMYFUNCTION("""COMPUTED_VALUE"""),46.0)</f>
        <v>46</v>
      </c>
      <c r="Y147" s="24"/>
      <c r="Z147" s="24"/>
      <c r="AA147" s="28"/>
      <c r="AB147" s="28"/>
    </row>
    <row r="148">
      <c r="A148" s="21" t="s">
        <v>316</v>
      </c>
      <c r="B148" s="21" t="s">
        <v>317</v>
      </c>
      <c r="C148" s="22">
        <v>45013.0</v>
      </c>
      <c r="D148" s="22" t="str">
        <f t="shared" si="1"/>
        <v>03.2023</v>
      </c>
      <c r="E148" s="22">
        <v>45025.0</v>
      </c>
      <c r="F148" s="21" t="s">
        <v>14</v>
      </c>
      <c r="G148" s="23">
        <v>4.0</v>
      </c>
      <c r="H148" s="24">
        <v>54.0</v>
      </c>
      <c r="I148" s="24">
        <v>0.0</v>
      </c>
      <c r="J148" s="24">
        <v>28.0</v>
      </c>
      <c r="K148" s="21" t="s">
        <v>23</v>
      </c>
      <c r="L148" s="21" t="s">
        <v>26</v>
      </c>
      <c r="M148" s="24">
        <v>1.0</v>
      </c>
      <c r="X148" s="24">
        <f>IFERROR(__xludf.DUMMYFUNCTION("""COMPUTED_VALUE"""),51.0)</f>
        <v>51</v>
      </c>
      <c r="Y148" s="24"/>
      <c r="Z148" s="24"/>
      <c r="AA148" s="28"/>
      <c r="AB148" s="28"/>
    </row>
    <row r="149">
      <c r="A149" s="21" t="s">
        <v>318</v>
      </c>
      <c r="B149" s="21" t="s">
        <v>319</v>
      </c>
      <c r="C149" s="22">
        <v>45152.0</v>
      </c>
      <c r="D149" s="22" t="str">
        <f t="shared" si="1"/>
        <v>08.2023</v>
      </c>
      <c r="E149" s="22">
        <v>45164.0</v>
      </c>
      <c r="F149" s="21" t="s">
        <v>14</v>
      </c>
      <c r="G149" s="23">
        <v>4.3</v>
      </c>
      <c r="H149" s="24">
        <v>78.0</v>
      </c>
      <c r="I149" s="24">
        <v>1.0</v>
      </c>
      <c r="J149" s="24">
        <v>31.0</v>
      </c>
      <c r="K149" s="21" t="s">
        <v>32</v>
      </c>
      <c r="L149" s="21" t="s">
        <v>16</v>
      </c>
      <c r="M149" s="24">
        <v>1.0</v>
      </c>
      <c r="X149" s="24">
        <f>IFERROR(__xludf.DUMMYFUNCTION("""COMPUTED_VALUE"""),35.0)</f>
        <v>35</v>
      </c>
      <c r="Y149" s="24"/>
      <c r="Z149" s="24"/>
      <c r="AA149" s="28"/>
      <c r="AB149" s="28"/>
    </row>
    <row r="150">
      <c r="A150" s="21" t="s">
        <v>320</v>
      </c>
      <c r="B150" s="21" t="s">
        <v>321</v>
      </c>
      <c r="C150" s="22">
        <v>45137.0</v>
      </c>
      <c r="D150" s="22" t="str">
        <f t="shared" si="1"/>
        <v>07.2023</v>
      </c>
      <c r="E150" s="22">
        <v>45149.0</v>
      </c>
      <c r="F150" s="21" t="s">
        <v>29</v>
      </c>
      <c r="G150" s="23">
        <v>2.8</v>
      </c>
      <c r="H150" s="24">
        <v>6.0</v>
      </c>
      <c r="I150" s="24">
        <v>1.0</v>
      </c>
      <c r="J150" s="24">
        <v>25.0</v>
      </c>
      <c r="K150" s="21" t="s">
        <v>35</v>
      </c>
      <c r="L150" s="21" t="s">
        <v>16</v>
      </c>
      <c r="M150" s="24">
        <v>1.0</v>
      </c>
      <c r="X150" s="24">
        <f>IFERROR(__xludf.DUMMYFUNCTION("""COMPUTED_VALUE"""),38.0)</f>
        <v>38</v>
      </c>
      <c r="Y150" s="24"/>
      <c r="Z150" s="24"/>
      <c r="AA150" s="28"/>
      <c r="AB150" s="28"/>
    </row>
    <row r="151">
      <c r="A151" s="21" t="s">
        <v>322</v>
      </c>
      <c r="B151" s="21" t="s">
        <v>323</v>
      </c>
      <c r="C151" s="22">
        <v>45090.0</v>
      </c>
      <c r="D151" s="22" t="str">
        <f t="shared" si="1"/>
        <v>06.2023</v>
      </c>
      <c r="E151" s="22">
        <v>45102.0</v>
      </c>
      <c r="F151" s="21" t="s">
        <v>38</v>
      </c>
      <c r="G151" s="23">
        <v>1.8</v>
      </c>
      <c r="H151" s="24">
        <v>13.0</v>
      </c>
      <c r="I151" s="24">
        <v>0.0</v>
      </c>
      <c r="J151" s="24">
        <v>42.0</v>
      </c>
      <c r="K151" s="21" t="s">
        <v>19</v>
      </c>
      <c r="L151" s="21" t="s">
        <v>16</v>
      </c>
      <c r="M151" s="24">
        <v>0.0</v>
      </c>
      <c r="X151" s="24">
        <f>IFERROR(__xludf.DUMMYFUNCTION("""COMPUTED_VALUE"""),53.0)</f>
        <v>53</v>
      </c>
      <c r="Y151" s="24"/>
      <c r="Z151" s="24"/>
      <c r="AA151" s="28"/>
      <c r="AB151" s="28"/>
    </row>
    <row r="152">
      <c r="A152" s="21" t="s">
        <v>324</v>
      </c>
      <c r="B152" s="21" t="s">
        <v>325</v>
      </c>
      <c r="C152" s="22">
        <v>45167.0</v>
      </c>
      <c r="D152" s="22" t="str">
        <f t="shared" si="1"/>
        <v>08.2023</v>
      </c>
      <c r="E152" s="22">
        <v>45179.0</v>
      </c>
      <c r="F152" s="21" t="s">
        <v>38</v>
      </c>
      <c r="G152" s="23">
        <v>5.0</v>
      </c>
      <c r="H152" s="24">
        <v>29.0</v>
      </c>
      <c r="I152" s="24">
        <v>1.0</v>
      </c>
      <c r="J152" s="24">
        <v>41.0</v>
      </c>
      <c r="K152" s="21" t="s">
        <v>32</v>
      </c>
      <c r="L152" s="21" t="s">
        <v>16</v>
      </c>
      <c r="M152" s="24">
        <v>1.0</v>
      </c>
      <c r="X152" s="24">
        <f>IFERROR(__xludf.DUMMYFUNCTION("""COMPUTED_VALUE"""),54.0)</f>
        <v>54</v>
      </c>
      <c r="Y152" s="24"/>
      <c r="Z152" s="24"/>
      <c r="AA152" s="28"/>
      <c r="AB152" s="28"/>
    </row>
    <row r="153">
      <c r="A153" s="21" t="s">
        <v>326</v>
      </c>
      <c r="B153" s="21" t="s">
        <v>327</v>
      </c>
      <c r="C153" s="22">
        <v>45011.0</v>
      </c>
      <c r="D153" s="22" t="str">
        <f t="shared" si="1"/>
        <v>03.2023</v>
      </c>
      <c r="E153" s="22">
        <v>45023.0</v>
      </c>
      <c r="F153" s="21" t="s">
        <v>38</v>
      </c>
      <c r="G153" s="23">
        <v>3.6</v>
      </c>
      <c r="H153" s="24">
        <v>23.0</v>
      </c>
      <c r="I153" s="24">
        <v>1.0</v>
      </c>
      <c r="J153" s="24">
        <v>32.0</v>
      </c>
      <c r="K153" s="21" t="s">
        <v>19</v>
      </c>
      <c r="L153" s="21" t="s">
        <v>26</v>
      </c>
      <c r="M153" s="24">
        <v>1.0</v>
      </c>
      <c r="X153" s="24">
        <f>IFERROR(__xludf.DUMMYFUNCTION("""COMPUTED_VALUE"""),52.0)</f>
        <v>52</v>
      </c>
      <c r="Y153" s="24"/>
      <c r="Z153" s="24"/>
      <c r="AA153" s="28"/>
      <c r="AB153" s="28"/>
    </row>
    <row r="154">
      <c r="A154" s="21" t="s">
        <v>328</v>
      </c>
      <c r="B154" s="21" t="s">
        <v>329</v>
      </c>
      <c r="C154" s="22">
        <v>45241.0</v>
      </c>
      <c r="D154" s="22" t="str">
        <f t="shared" si="1"/>
        <v>11.2023</v>
      </c>
      <c r="E154" s="22">
        <v>45253.0</v>
      </c>
      <c r="F154" s="21" t="s">
        <v>38</v>
      </c>
      <c r="G154" s="23">
        <v>1.6</v>
      </c>
      <c r="H154" s="24">
        <v>80.0</v>
      </c>
      <c r="I154" s="24">
        <v>0.0</v>
      </c>
      <c r="J154" s="24">
        <v>27.0</v>
      </c>
      <c r="K154" s="21" t="s">
        <v>35</v>
      </c>
      <c r="L154" s="21" t="s">
        <v>26</v>
      </c>
      <c r="M154" s="24">
        <v>1.0</v>
      </c>
      <c r="X154" s="24">
        <f>IFERROR(__xludf.DUMMYFUNCTION("""COMPUTED_VALUE"""),43.0)</f>
        <v>43</v>
      </c>
      <c r="Y154" s="24"/>
      <c r="Z154" s="24"/>
      <c r="AA154" s="28"/>
      <c r="AB154" s="28"/>
    </row>
    <row r="155">
      <c r="A155" s="21" t="s">
        <v>330</v>
      </c>
      <c r="B155" s="21" t="s">
        <v>331</v>
      </c>
      <c r="C155" s="22">
        <v>45026.0</v>
      </c>
      <c r="D155" s="22" t="str">
        <f t="shared" si="1"/>
        <v>04.2023</v>
      </c>
      <c r="E155" s="22">
        <v>45038.0</v>
      </c>
      <c r="F155" s="21" t="s">
        <v>38</v>
      </c>
      <c r="G155" s="23">
        <v>0.9</v>
      </c>
      <c r="H155" s="24">
        <v>95.0</v>
      </c>
      <c r="I155" s="24">
        <v>0.0</v>
      </c>
      <c r="J155" s="24">
        <v>40.0</v>
      </c>
      <c r="K155" s="21" t="s">
        <v>35</v>
      </c>
      <c r="L155" s="21" t="s">
        <v>47</v>
      </c>
      <c r="M155" s="24">
        <v>1.0</v>
      </c>
      <c r="X155" s="24">
        <f>IFERROR(__xludf.DUMMYFUNCTION("""COMPUTED_VALUE"""),26.0)</f>
        <v>26</v>
      </c>
      <c r="Y155" s="24"/>
      <c r="Z155" s="24"/>
      <c r="AA155" s="28"/>
      <c r="AB155" s="28"/>
    </row>
    <row r="156">
      <c r="A156" s="21" t="s">
        <v>332</v>
      </c>
      <c r="B156" s="21" t="s">
        <v>333</v>
      </c>
      <c r="C156" s="22">
        <v>45030.0</v>
      </c>
      <c r="D156" s="22" t="str">
        <f t="shared" si="1"/>
        <v>04.2023</v>
      </c>
      <c r="E156" s="22">
        <v>45042.0</v>
      </c>
      <c r="F156" s="21" t="s">
        <v>22</v>
      </c>
      <c r="G156" s="23">
        <v>1.0</v>
      </c>
      <c r="H156" s="24">
        <v>98.0</v>
      </c>
      <c r="I156" s="24">
        <v>1.0</v>
      </c>
      <c r="J156" s="24">
        <v>26.0</v>
      </c>
      <c r="K156" s="21" t="s">
        <v>15</v>
      </c>
      <c r="L156" s="21" t="s">
        <v>16</v>
      </c>
      <c r="M156" s="24">
        <v>1.0</v>
      </c>
      <c r="X156" s="24">
        <f>IFERROR(__xludf.DUMMYFUNCTION("""COMPUTED_VALUE"""),12.0)</f>
        <v>12</v>
      </c>
      <c r="Y156" s="21"/>
      <c r="Z156" s="24"/>
    </row>
    <row r="157">
      <c r="A157" s="21" t="s">
        <v>334</v>
      </c>
      <c r="B157" s="21" t="s">
        <v>335</v>
      </c>
      <c r="C157" s="22">
        <v>44935.0</v>
      </c>
      <c r="D157" s="22" t="str">
        <f t="shared" si="1"/>
        <v>01.2023</v>
      </c>
      <c r="E157" s="22">
        <v>44947.0</v>
      </c>
      <c r="F157" s="21" t="s">
        <v>14</v>
      </c>
      <c r="G157" s="23">
        <v>3.9</v>
      </c>
      <c r="H157" s="24">
        <v>4.0</v>
      </c>
      <c r="I157" s="24">
        <v>1.0</v>
      </c>
      <c r="J157" s="24">
        <v>14.0</v>
      </c>
      <c r="K157" s="21" t="s">
        <v>19</v>
      </c>
      <c r="L157" s="21" t="s">
        <v>26</v>
      </c>
      <c r="M157" s="24">
        <v>1.0</v>
      </c>
      <c r="X157" s="24">
        <f>IFERROR(__xludf.DUMMYFUNCTION("""COMPUTED_VALUE"""),55.0)</f>
        <v>55</v>
      </c>
      <c r="Y157" s="21"/>
      <c r="Z157" s="24"/>
    </row>
    <row r="158">
      <c r="A158" s="21" t="s">
        <v>336</v>
      </c>
      <c r="B158" s="21" t="s">
        <v>337</v>
      </c>
      <c r="C158" s="22">
        <v>45048.0</v>
      </c>
      <c r="D158" s="22" t="str">
        <f t="shared" si="1"/>
        <v>05.2023</v>
      </c>
      <c r="E158" s="22">
        <v>45060.0</v>
      </c>
      <c r="F158" s="21" t="s">
        <v>38</v>
      </c>
      <c r="G158" s="23">
        <v>3.4</v>
      </c>
      <c r="H158" s="24">
        <v>3.0</v>
      </c>
      <c r="I158" s="24">
        <v>0.0</v>
      </c>
      <c r="J158" s="24">
        <v>17.0</v>
      </c>
      <c r="K158" s="21" t="s">
        <v>23</v>
      </c>
      <c r="L158" s="21" t="s">
        <v>26</v>
      </c>
      <c r="M158" s="24">
        <v>0.0</v>
      </c>
      <c r="X158" s="24">
        <f>IFERROR(__xludf.DUMMYFUNCTION("""COMPUTED_VALUE"""),30.0)</f>
        <v>30</v>
      </c>
      <c r="Y158" s="21"/>
      <c r="Z158" s="24"/>
    </row>
    <row r="159">
      <c r="A159" s="21" t="s">
        <v>338</v>
      </c>
      <c r="B159" s="21" t="s">
        <v>339</v>
      </c>
      <c r="C159" s="22">
        <v>44953.0</v>
      </c>
      <c r="D159" s="22" t="str">
        <f t="shared" si="1"/>
        <v>01.2023</v>
      </c>
      <c r="E159" s="22">
        <v>44965.0</v>
      </c>
      <c r="F159" s="21" t="s">
        <v>29</v>
      </c>
      <c r="G159" s="23">
        <v>2.4</v>
      </c>
      <c r="H159" s="24">
        <v>97.0</v>
      </c>
      <c r="I159" s="24">
        <v>1.0</v>
      </c>
      <c r="J159" s="24">
        <v>24.0</v>
      </c>
      <c r="K159" s="21" t="s">
        <v>23</v>
      </c>
      <c r="L159" s="21" t="s">
        <v>16</v>
      </c>
      <c r="M159" s="24">
        <v>1.0</v>
      </c>
      <c r="X159" s="24">
        <f>IFERROR(__xludf.DUMMYFUNCTION("""COMPUTED_VALUE"""),21.0)</f>
        <v>21</v>
      </c>
      <c r="Y159" s="21"/>
      <c r="Z159" s="24"/>
    </row>
    <row r="160">
      <c r="A160" s="21" t="s">
        <v>340</v>
      </c>
      <c r="B160" s="21" t="s">
        <v>341</v>
      </c>
      <c r="C160" s="22">
        <v>45031.0</v>
      </c>
      <c r="D160" s="22" t="str">
        <f t="shared" si="1"/>
        <v>04.2023</v>
      </c>
      <c r="E160" s="22">
        <v>45043.0</v>
      </c>
      <c r="F160" s="21" t="s">
        <v>38</v>
      </c>
      <c r="G160" s="23">
        <v>4.6</v>
      </c>
      <c r="H160" s="24">
        <v>27.0</v>
      </c>
      <c r="I160" s="24">
        <v>1.0</v>
      </c>
      <c r="J160" s="24">
        <v>46.0</v>
      </c>
      <c r="K160" s="21" t="s">
        <v>19</v>
      </c>
      <c r="L160" s="21" t="s">
        <v>16</v>
      </c>
      <c r="M160" s="24">
        <v>0.0</v>
      </c>
      <c r="X160" s="24">
        <f>IFERROR(__xludf.DUMMYFUNCTION("""COMPUTED_VALUE"""),44.0)</f>
        <v>44</v>
      </c>
      <c r="Y160" s="21"/>
      <c r="Z160" s="24"/>
    </row>
    <row r="161">
      <c r="A161" s="21" t="s">
        <v>342</v>
      </c>
      <c r="B161" s="21" t="s">
        <v>343</v>
      </c>
      <c r="C161" s="22">
        <v>45022.0</v>
      </c>
      <c r="D161" s="22" t="str">
        <f t="shared" si="1"/>
        <v>04.2023</v>
      </c>
      <c r="E161" s="22">
        <v>45034.0</v>
      </c>
      <c r="F161" s="21" t="s">
        <v>14</v>
      </c>
      <c r="G161" s="23">
        <v>2.8</v>
      </c>
      <c r="H161" s="24">
        <v>11.0</v>
      </c>
      <c r="I161" s="24">
        <v>0.0</v>
      </c>
      <c r="J161" s="24">
        <v>52.0</v>
      </c>
      <c r="K161" s="21" t="s">
        <v>35</v>
      </c>
      <c r="L161" s="21" t="s">
        <v>47</v>
      </c>
      <c r="M161" s="24">
        <v>0.0</v>
      </c>
      <c r="X161" s="24">
        <f>IFERROR(__xludf.DUMMYFUNCTION("""COMPUTED_VALUE"""),32.0)</f>
        <v>32</v>
      </c>
      <c r="Y161" s="21"/>
      <c r="Z161" s="24"/>
    </row>
    <row r="162">
      <c r="A162" s="21" t="s">
        <v>344</v>
      </c>
      <c r="B162" s="21" t="s">
        <v>345</v>
      </c>
      <c r="C162" s="22">
        <v>44977.0</v>
      </c>
      <c r="D162" s="22" t="str">
        <f t="shared" si="1"/>
        <v>02.2023</v>
      </c>
      <c r="E162" s="22">
        <v>44989.0</v>
      </c>
      <c r="F162" s="21" t="s">
        <v>14</v>
      </c>
      <c r="G162" s="23">
        <v>4.4</v>
      </c>
      <c r="H162" s="24">
        <v>51.0</v>
      </c>
      <c r="I162" s="24">
        <v>1.0</v>
      </c>
      <c r="J162" s="24">
        <v>33.0</v>
      </c>
      <c r="K162" s="21" t="s">
        <v>19</v>
      </c>
      <c r="L162" s="21" t="s">
        <v>47</v>
      </c>
      <c r="M162" s="24">
        <v>0.0</v>
      </c>
      <c r="X162" s="24">
        <f>IFERROR(__xludf.DUMMYFUNCTION("""COMPUTED_VALUE"""),37.0)</f>
        <v>37</v>
      </c>
      <c r="Y162" s="21"/>
      <c r="Z162" s="24"/>
    </row>
    <row r="163">
      <c r="A163" s="21" t="s">
        <v>346</v>
      </c>
      <c r="B163" s="21" t="s">
        <v>347</v>
      </c>
      <c r="C163" s="22">
        <v>45156.0</v>
      </c>
      <c r="D163" s="22" t="str">
        <f t="shared" si="1"/>
        <v>08.2023</v>
      </c>
      <c r="E163" s="22">
        <v>45168.0</v>
      </c>
      <c r="F163" s="21" t="s">
        <v>38</v>
      </c>
      <c r="G163" s="23">
        <v>1.4</v>
      </c>
      <c r="H163" s="24">
        <v>67.0</v>
      </c>
      <c r="I163" s="24">
        <v>0.0</v>
      </c>
      <c r="J163" s="24">
        <v>16.0</v>
      </c>
      <c r="K163" s="21" t="s">
        <v>32</v>
      </c>
      <c r="L163" s="21" t="s">
        <v>16</v>
      </c>
      <c r="M163" s="24">
        <v>1.0</v>
      </c>
      <c r="X163" s="24">
        <f>IFERROR(__xludf.DUMMYFUNCTION("""COMPUTED_VALUE"""),23.0)</f>
        <v>23</v>
      </c>
      <c r="Y163" s="21"/>
      <c r="Z163" s="24"/>
    </row>
    <row r="164">
      <c r="A164" s="21" t="s">
        <v>348</v>
      </c>
      <c r="B164" s="21" t="s">
        <v>349</v>
      </c>
      <c r="C164" s="22">
        <v>44946.0</v>
      </c>
      <c r="D164" s="22" t="str">
        <f t="shared" si="1"/>
        <v>01.2023</v>
      </c>
      <c r="E164" s="22">
        <v>44958.0</v>
      </c>
      <c r="F164" s="21" t="s">
        <v>29</v>
      </c>
      <c r="G164" s="23">
        <v>4.9</v>
      </c>
      <c r="H164" s="24">
        <v>77.0</v>
      </c>
      <c r="I164" s="24">
        <v>1.0</v>
      </c>
      <c r="J164" s="24">
        <v>18.0</v>
      </c>
      <c r="K164" s="21" t="s">
        <v>19</v>
      </c>
      <c r="L164" s="21" t="s">
        <v>16</v>
      </c>
      <c r="M164" s="24">
        <v>1.0</v>
      </c>
      <c r="X164" s="24">
        <f>IFERROR(__xludf.DUMMYFUNCTION("""COMPUTED_VALUE"""),39.0)</f>
        <v>39</v>
      </c>
      <c r="Y164" s="21"/>
      <c r="Z164" s="24"/>
    </row>
    <row r="165">
      <c r="A165" s="21" t="s">
        <v>350</v>
      </c>
      <c r="B165" s="21" t="s">
        <v>351</v>
      </c>
      <c r="C165" s="22">
        <v>45179.0</v>
      </c>
      <c r="D165" s="22" t="str">
        <f t="shared" si="1"/>
        <v>09.2023</v>
      </c>
      <c r="E165" s="22">
        <v>45191.0</v>
      </c>
      <c r="F165" s="21" t="s">
        <v>38</v>
      </c>
      <c r="G165" s="23">
        <v>1.8</v>
      </c>
      <c r="H165" s="24">
        <v>89.0</v>
      </c>
      <c r="I165" s="24">
        <v>1.0</v>
      </c>
      <c r="J165" s="24">
        <v>22.0</v>
      </c>
      <c r="K165" s="21" t="s">
        <v>35</v>
      </c>
      <c r="L165" s="21" t="s">
        <v>26</v>
      </c>
      <c r="M165" s="24">
        <v>1.0</v>
      </c>
      <c r="X165" s="24">
        <f>IFERROR(__xludf.DUMMYFUNCTION("""COMPUTED_VALUE"""),36.0)</f>
        <v>36</v>
      </c>
      <c r="Y165" s="21"/>
      <c r="Z165" s="24"/>
    </row>
    <row r="166">
      <c r="A166" s="21" t="s">
        <v>352</v>
      </c>
      <c r="B166" s="21" t="s">
        <v>353</v>
      </c>
      <c r="C166" s="22">
        <v>45214.0</v>
      </c>
      <c r="D166" s="22" t="str">
        <f t="shared" si="1"/>
        <v>10.2023</v>
      </c>
      <c r="E166" s="22">
        <v>45226.0</v>
      </c>
      <c r="F166" s="21" t="s">
        <v>22</v>
      </c>
      <c r="G166" s="23">
        <v>2.7</v>
      </c>
      <c r="H166" s="24">
        <v>84.0</v>
      </c>
      <c r="I166" s="24">
        <v>0.0</v>
      </c>
      <c r="J166" s="24">
        <v>54.0</v>
      </c>
      <c r="K166" s="21" t="s">
        <v>35</v>
      </c>
      <c r="L166" s="21" t="s">
        <v>47</v>
      </c>
      <c r="M166" s="24">
        <v>1.0</v>
      </c>
      <c r="X166" s="24">
        <f>IFERROR(__xludf.DUMMYFUNCTION("""COMPUTED_VALUE"""),28.0)</f>
        <v>28</v>
      </c>
      <c r="Y166" s="21"/>
      <c r="Z166" s="24"/>
    </row>
    <row r="167">
      <c r="A167" s="21" t="s">
        <v>354</v>
      </c>
      <c r="B167" s="21" t="s">
        <v>355</v>
      </c>
      <c r="C167" s="22">
        <v>45220.0</v>
      </c>
      <c r="D167" s="22" t="str">
        <f t="shared" si="1"/>
        <v>10.2023</v>
      </c>
      <c r="E167" s="22">
        <v>45232.0</v>
      </c>
      <c r="F167" s="21" t="s">
        <v>29</v>
      </c>
      <c r="G167" s="23">
        <v>0.1</v>
      </c>
      <c r="H167" s="24">
        <v>18.0</v>
      </c>
      <c r="I167" s="24">
        <v>1.0</v>
      </c>
      <c r="J167" s="24">
        <v>48.0</v>
      </c>
      <c r="K167" s="21" t="s">
        <v>23</v>
      </c>
      <c r="L167" s="21" t="s">
        <v>47</v>
      </c>
      <c r="M167" s="24">
        <v>0.0</v>
      </c>
      <c r="X167" s="24">
        <f>IFERROR(__xludf.DUMMYFUNCTION("""COMPUTED_VALUE"""),16.0)</f>
        <v>16</v>
      </c>
      <c r="Y167" s="21"/>
      <c r="Z167" s="24"/>
    </row>
    <row r="168">
      <c r="A168" s="21" t="s">
        <v>356</v>
      </c>
      <c r="B168" s="21" t="s">
        <v>357</v>
      </c>
      <c r="C168" s="22">
        <v>45066.0</v>
      </c>
      <c r="D168" s="22" t="str">
        <f t="shared" si="1"/>
        <v>05.2023</v>
      </c>
      <c r="E168" s="22">
        <v>45078.0</v>
      </c>
      <c r="F168" s="21" t="s">
        <v>38</v>
      </c>
      <c r="G168" s="23">
        <v>2.0</v>
      </c>
      <c r="H168" s="24">
        <v>63.0</v>
      </c>
      <c r="I168" s="24">
        <v>1.0</v>
      </c>
      <c r="J168" s="24">
        <v>35.0</v>
      </c>
      <c r="K168" s="21" t="s">
        <v>32</v>
      </c>
      <c r="L168" s="21" t="s">
        <v>26</v>
      </c>
      <c r="M168" s="24">
        <v>0.0</v>
      </c>
      <c r="X168" s="24">
        <f>IFERROR(__xludf.DUMMYFUNCTION("""COMPUTED_VALUE"""),40.0)</f>
        <v>40</v>
      </c>
      <c r="Y168" s="21"/>
      <c r="Z168" s="24"/>
    </row>
    <row r="169">
      <c r="A169" s="21" t="s">
        <v>358</v>
      </c>
      <c r="B169" s="21" t="s">
        <v>359</v>
      </c>
      <c r="C169" s="22">
        <v>45262.0</v>
      </c>
      <c r="D169" s="22" t="str">
        <f t="shared" si="1"/>
        <v>12.2023</v>
      </c>
      <c r="E169" s="22">
        <v>45274.0</v>
      </c>
      <c r="F169" s="21" t="s">
        <v>29</v>
      </c>
      <c r="G169" s="23">
        <v>5.0</v>
      </c>
      <c r="H169" s="24">
        <v>93.0</v>
      </c>
      <c r="I169" s="24">
        <v>1.0</v>
      </c>
      <c r="J169" s="24">
        <v>19.0</v>
      </c>
      <c r="K169" s="21" t="s">
        <v>19</v>
      </c>
      <c r="L169" s="21" t="s">
        <v>16</v>
      </c>
      <c r="M169" s="24">
        <v>1.0</v>
      </c>
      <c r="X169" s="24">
        <f>IFERROR(__xludf.DUMMYFUNCTION("""COMPUTED_VALUE"""),17.0)</f>
        <v>17</v>
      </c>
      <c r="Y169" s="21"/>
      <c r="Z169" s="24"/>
    </row>
    <row r="170">
      <c r="A170" s="21" t="s">
        <v>360</v>
      </c>
      <c r="B170" s="21" t="s">
        <v>361</v>
      </c>
      <c r="C170" s="22">
        <v>45236.0</v>
      </c>
      <c r="D170" s="22" t="str">
        <f t="shared" si="1"/>
        <v>11.2023</v>
      </c>
      <c r="E170" s="22">
        <v>45248.0</v>
      </c>
      <c r="F170" s="21" t="s">
        <v>38</v>
      </c>
      <c r="G170" s="23">
        <v>0.3</v>
      </c>
      <c r="H170" s="24">
        <v>38.0</v>
      </c>
      <c r="I170" s="24">
        <v>1.0</v>
      </c>
      <c r="J170" s="24">
        <v>49.0</v>
      </c>
      <c r="K170" s="21" t="s">
        <v>35</v>
      </c>
      <c r="L170" s="21" t="s">
        <v>47</v>
      </c>
      <c r="M170" s="24">
        <v>0.0</v>
      </c>
      <c r="X170" s="24">
        <f>IFERROR(__xludf.DUMMYFUNCTION("""COMPUTED_VALUE"""),42.0)</f>
        <v>42</v>
      </c>
      <c r="Y170" s="21"/>
      <c r="Z170" s="24"/>
    </row>
    <row r="171">
      <c r="A171" s="21" t="s">
        <v>362</v>
      </c>
      <c r="B171" s="21" t="s">
        <v>363</v>
      </c>
      <c r="C171" s="22">
        <v>45059.0</v>
      </c>
      <c r="D171" s="22" t="str">
        <f t="shared" si="1"/>
        <v>05.2023</v>
      </c>
      <c r="E171" s="22">
        <v>45071.0</v>
      </c>
      <c r="F171" s="21" t="s">
        <v>29</v>
      </c>
      <c r="G171" s="23">
        <v>4.5</v>
      </c>
      <c r="H171" s="24">
        <v>76.0</v>
      </c>
      <c r="I171" s="24">
        <v>0.0</v>
      </c>
      <c r="J171" s="24">
        <v>12.0</v>
      </c>
      <c r="K171" s="21" t="s">
        <v>23</v>
      </c>
      <c r="L171" s="21" t="s">
        <v>47</v>
      </c>
      <c r="M171" s="24">
        <v>0.0</v>
      </c>
      <c r="X171" s="24">
        <f>IFERROR(__xludf.DUMMYFUNCTION("""COMPUTED_VALUE"""),45.0)</f>
        <v>45</v>
      </c>
      <c r="Y171" s="21"/>
      <c r="Z171" s="24"/>
    </row>
    <row r="172">
      <c r="A172" s="21" t="s">
        <v>364</v>
      </c>
      <c r="B172" s="21" t="s">
        <v>365</v>
      </c>
      <c r="C172" s="22">
        <v>45169.0</v>
      </c>
      <c r="D172" s="22" t="str">
        <f t="shared" si="1"/>
        <v>08.2023</v>
      </c>
      <c r="E172" s="22">
        <v>45181.0</v>
      </c>
      <c r="F172" s="21" t="s">
        <v>29</v>
      </c>
      <c r="G172" s="23">
        <v>4.8</v>
      </c>
      <c r="H172" s="24">
        <v>28.0</v>
      </c>
      <c r="I172" s="24">
        <v>0.0</v>
      </c>
      <c r="J172" s="24">
        <v>39.0</v>
      </c>
      <c r="K172" s="21" t="s">
        <v>35</v>
      </c>
      <c r="L172" s="21" t="s">
        <v>16</v>
      </c>
      <c r="M172" s="24">
        <v>1.0</v>
      </c>
      <c r="X172" s="24">
        <f>IFERROR(__xludf.DUMMYFUNCTION("""COMPUTED_VALUE"""),20.0)</f>
        <v>20</v>
      </c>
      <c r="Y172" s="21"/>
      <c r="Z172" s="24"/>
    </row>
    <row r="173">
      <c r="A173" s="21" t="s">
        <v>366</v>
      </c>
      <c r="B173" s="21" t="s">
        <v>367</v>
      </c>
      <c r="C173" s="22">
        <v>44952.0</v>
      </c>
      <c r="D173" s="22" t="str">
        <f t="shared" si="1"/>
        <v>01.2023</v>
      </c>
      <c r="E173" s="22">
        <v>44964.0</v>
      </c>
      <c r="F173" s="21" t="s">
        <v>14</v>
      </c>
      <c r="G173" s="23">
        <v>4.2</v>
      </c>
      <c r="H173" s="24">
        <v>22.0</v>
      </c>
      <c r="I173" s="24">
        <v>1.0</v>
      </c>
      <c r="J173" s="24">
        <v>23.0</v>
      </c>
      <c r="K173" s="21" t="s">
        <v>15</v>
      </c>
      <c r="L173" s="21" t="s">
        <v>47</v>
      </c>
      <c r="M173" s="24">
        <v>1.0</v>
      </c>
      <c r="X173" s="24">
        <f>IFERROR(__xludf.DUMMYFUNCTION("""COMPUTED_VALUE"""),36.0)</f>
        <v>36</v>
      </c>
      <c r="Y173" s="21"/>
      <c r="Z173" s="24"/>
    </row>
    <row r="174">
      <c r="A174" s="21" t="s">
        <v>368</v>
      </c>
      <c r="B174" s="21" t="s">
        <v>369</v>
      </c>
      <c r="C174" s="22">
        <v>45003.0</v>
      </c>
      <c r="D174" s="22" t="str">
        <f t="shared" si="1"/>
        <v>03.2023</v>
      </c>
      <c r="E174" s="22">
        <v>45015.0</v>
      </c>
      <c r="F174" s="21" t="s">
        <v>29</v>
      </c>
      <c r="G174" s="23">
        <v>1.3</v>
      </c>
      <c r="H174" s="24">
        <v>64.0</v>
      </c>
      <c r="I174" s="24">
        <v>0.0</v>
      </c>
      <c r="J174" s="24">
        <v>36.0</v>
      </c>
      <c r="K174" s="21" t="s">
        <v>32</v>
      </c>
      <c r="L174" s="21" t="s">
        <v>26</v>
      </c>
      <c r="M174" s="24">
        <v>1.0</v>
      </c>
      <c r="X174" s="24">
        <f>IFERROR(__xludf.DUMMYFUNCTION("""COMPUTED_VALUE"""),46.0)</f>
        <v>46</v>
      </c>
      <c r="Y174" s="21"/>
      <c r="Z174" s="24"/>
    </row>
    <row r="175">
      <c r="A175" s="21" t="s">
        <v>370</v>
      </c>
      <c r="B175" s="21" t="s">
        <v>371</v>
      </c>
      <c r="C175" s="22">
        <v>45183.0</v>
      </c>
      <c r="D175" s="22" t="str">
        <f t="shared" si="1"/>
        <v>09.2023</v>
      </c>
      <c r="E175" s="22">
        <v>45195.0</v>
      </c>
      <c r="F175" s="21" t="s">
        <v>29</v>
      </c>
      <c r="G175" s="23">
        <v>4.3</v>
      </c>
      <c r="H175" s="24">
        <v>91.0</v>
      </c>
      <c r="I175" s="24">
        <v>1.0</v>
      </c>
      <c r="J175" s="24">
        <v>34.0</v>
      </c>
      <c r="K175" s="21" t="s">
        <v>32</v>
      </c>
      <c r="L175" s="21" t="s">
        <v>26</v>
      </c>
      <c r="M175" s="24">
        <v>0.0</v>
      </c>
      <c r="X175" s="24">
        <f>IFERROR(__xludf.DUMMYFUNCTION("""COMPUTED_VALUE"""),25.0)</f>
        <v>25</v>
      </c>
      <c r="Y175" s="21"/>
      <c r="Z175" s="24"/>
    </row>
    <row r="176">
      <c r="A176" s="21" t="s">
        <v>372</v>
      </c>
      <c r="B176" s="21" t="s">
        <v>373</v>
      </c>
      <c r="C176" s="22">
        <v>45279.0</v>
      </c>
      <c r="D176" s="22" t="str">
        <f t="shared" si="1"/>
        <v>12.2023</v>
      </c>
      <c r="E176" s="22">
        <v>45291.0</v>
      </c>
      <c r="F176" s="21" t="s">
        <v>38</v>
      </c>
      <c r="G176" s="23">
        <v>4.7</v>
      </c>
      <c r="H176" s="24">
        <v>2.0</v>
      </c>
      <c r="I176" s="24">
        <v>0.0</v>
      </c>
      <c r="J176" s="24">
        <v>13.0</v>
      </c>
      <c r="K176" s="21" t="s">
        <v>15</v>
      </c>
      <c r="L176" s="21" t="s">
        <v>16</v>
      </c>
      <c r="M176" s="24">
        <v>1.0</v>
      </c>
      <c r="X176" s="24">
        <f>IFERROR(__xludf.DUMMYFUNCTION("""COMPUTED_VALUE"""),13.0)</f>
        <v>13</v>
      </c>
      <c r="Y176" s="21"/>
      <c r="Z176" s="24"/>
    </row>
    <row r="177">
      <c r="A177" s="21" t="s">
        <v>374</v>
      </c>
      <c r="B177" s="21" t="s">
        <v>375</v>
      </c>
      <c r="C177" s="22">
        <v>45154.0</v>
      </c>
      <c r="D177" s="22" t="str">
        <f t="shared" si="1"/>
        <v>08.2023</v>
      </c>
      <c r="E177" s="22">
        <v>45166.0</v>
      </c>
      <c r="F177" s="21" t="s">
        <v>14</v>
      </c>
      <c r="G177" s="23">
        <v>0.8</v>
      </c>
      <c r="H177" s="24">
        <v>48.0</v>
      </c>
      <c r="I177" s="24">
        <v>1.0</v>
      </c>
      <c r="J177" s="24">
        <v>15.0</v>
      </c>
      <c r="K177" s="21" t="s">
        <v>15</v>
      </c>
      <c r="L177" s="21" t="s">
        <v>16</v>
      </c>
      <c r="M177" s="24">
        <v>1.0</v>
      </c>
      <c r="X177" s="24">
        <f>IFERROR(__xludf.DUMMYFUNCTION("""COMPUTED_VALUE"""),31.0)</f>
        <v>31</v>
      </c>
      <c r="Y177" s="21"/>
      <c r="Z177" s="24"/>
    </row>
    <row r="178">
      <c r="A178" s="21" t="s">
        <v>376</v>
      </c>
      <c r="B178" s="21" t="s">
        <v>377</v>
      </c>
      <c r="C178" s="22">
        <v>45287.0</v>
      </c>
      <c r="D178" s="22" t="str">
        <f t="shared" si="1"/>
        <v>12.2023</v>
      </c>
      <c r="E178" s="22">
        <v>45299.0</v>
      </c>
      <c r="F178" s="21" t="s">
        <v>38</v>
      </c>
      <c r="G178" s="23">
        <v>2.9</v>
      </c>
      <c r="H178" s="24">
        <v>53.0</v>
      </c>
      <c r="I178" s="24">
        <v>0.0</v>
      </c>
      <c r="J178" s="24">
        <v>37.0</v>
      </c>
      <c r="K178" s="21" t="s">
        <v>35</v>
      </c>
      <c r="L178" s="21" t="s">
        <v>16</v>
      </c>
      <c r="M178" s="24">
        <v>1.0</v>
      </c>
      <c r="X178" s="24">
        <f>IFERROR(__xludf.DUMMYFUNCTION("""COMPUTED_VALUE"""),28.0)</f>
        <v>28</v>
      </c>
      <c r="Y178" s="21"/>
      <c r="Z178" s="24"/>
    </row>
    <row r="179">
      <c r="A179" s="21" t="s">
        <v>378</v>
      </c>
      <c r="B179" s="21" t="s">
        <v>379</v>
      </c>
      <c r="C179" s="22">
        <v>45010.0</v>
      </c>
      <c r="D179" s="22" t="str">
        <f t="shared" si="1"/>
        <v>03.2023</v>
      </c>
      <c r="E179" s="22">
        <v>45022.0</v>
      </c>
      <c r="F179" s="21" t="s">
        <v>38</v>
      </c>
      <c r="G179" s="23">
        <v>0.0</v>
      </c>
      <c r="H179" s="24">
        <v>37.0</v>
      </c>
      <c r="I179" s="24">
        <v>1.0</v>
      </c>
      <c r="J179" s="24">
        <v>47.0</v>
      </c>
      <c r="K179" s="21" t="s">
        <v>23</v>
      </c>
      <c r="L179" s="21" t="s">
        <v>26</v>
      </c>
      <c r="M179" s="24">
        <v>0.0</v>
      </c>
      <c r="X179" s="24">
        <f>IFERROR(__xludf.DUMMYFUNCTION("""COMPUTED_VALUE"""),47.0)</f>
        <v>47</v>
      </c>
      <c r="Y179" s="21"/>
      <c r="Z179" s="24"/>
    </row>
    <row r="180">
      <c r="A180" s="21" t="s">
        <v>380</v>
      </c>
      <c r="B180" s="21" t="s">
        <v>381</v>
      </c>
      <c r="C180" s="22">
        <v>45050.0</v>
      </c>
      <c r="D180" s="22" t="str">
        <f t="shared" si="1"/>
        <v>05.2023</v>
      </c>
      <c r="E180" s="22">
        <v>45062.0</v>
      </c>
      <c r="F180" s="21" t="s">
        <v>22</v>
      </c>
      <c r="G180" s="23">
        <v>1.6</v>
      </c>
      <c r="H180" s="24">
        <v>20.0</v>
      </c>
      <c r="I180" s="24">
        <v>1.0</v>
      </c>
      <c r="J180" s="24">
        <v>38.0</v>
      </c>
      <c r="K180" s="21" t="s">
        <v>35</v>
      </c>
      <c r="L180" s="21" t="s">
        <v>16</v>
      </c>
      <c r="M180" s="24">
        <v>0.0</v>
      </c>
      <c r="X180" s="24">
        <f>IFERROR(__xludf.DUMMYFUNCTION("""COMPUTED_VALUE"""),50.0)</f>
        <v>50</v>
      </c>
      <c r="Y180" s="21"/>
      <c r="Z180" s="24"/>
    </row>
    <row r="181">
      <c r="A181" s="21" t="s">
        <v>382</v>
      </c>
      <c r="B181" s="21" t="s">
        <v>383</v>
      </c>
      <c r="C181" s="22">
        <v>45026.0</v>
      </c>
      <c r="D181" s="22" t="str">
        <f t="shared" si="1"/>
        <v>04.2023</v>
      </c>
      <c r="E181" s="22">
        <v>45038.0</v>
      </c>
      <c r="F181" s="21" t="s">
        <v>38</v>
      </c>
      <c r="G181" s="23">
        <v>1.1</v>
      </c>
      <c r="H181" s="24">
        <v>16.0</v>
      </c>
      <c r="I181" s="24">
        <v>0.0</v>
      </c>
      <c r="J181" s="24">
        <v>56.0</v>
      </c>
      <c r="K181" s="21" t="s">
        <v>35</v>
      </c>
      <c r="L181" s="21" t="s">
        <v>16</v>
      </c>
      <c r="M181" s="24">
        <v>0.0</v>
      </c>
      <c r="X181" s="24">
        <f>IFERROR(__xludf.DUMMYFUNCTION("""COMPUTED_VALUE"""),17.0)</f>
        <v>17</v>
      </c>
      <c r="Y181" s="21"/>
      <c r="Z181" s="24"/>
    </row>
    <row r="182">
      <c r="A182" s="21" t="s">
        <v>384</v>
      </c>
      <c r="B182" s="21" t="s">
        <v>385</v>
      </c>
      <c r="C182" s="22">
        <v>45276.0</v>
      </c>
      <c r="D182" s="22" t="str">
        <f t="shared" si="1"/>
        <v>12.2023</v>
      </c>
      <c r="E182" s="22">
        <v>45288.0</v>
      </c>
      <c r="F182" s="21" t="s">
        <v>22</v>
      </c>
      <c r="G182" s="23">
        <v>3.6</v>
      </c>
      <c r="H182" s="24">
        <v>73.0</v>
      </c>
      <c r="I182" s="24">
        <v>0.0</v>
      </c>
      <c r="J182" s="24">
        <v>54.0</v>
      </c>
      <c r="K182" s="21" t="s">
        <v>19</v>
      </c>
      <c r="L182" s="21" t="s">
        <v>26</v>
      </c>
      <c r="M182" s="24">
        <v>0.0</v>
      </c>
      <c r="X182" s="24">
        <f>IFERROR(__xludf.DUMMYFUNCTION("""COMPUTED_VALUE"""),38.0)</f>
        <v>38</v>
      </c>
      <c r="Y182" s="21"/>
      <c r="Z182" s="24"/>
    </row>
    <row r="183">
      <c r="A183" s="21" t="s">
        <v>386</v>
      </c>
      <c r="B183" s="21" t="s">
        <v>387</v>
      </c>
      <c r="C183" s="22">
        <v>45142.0</v>
      </c>
      <c r="D183" s="22" t="str">
        <f t="shared" si="1"/>
        <v>08.2023</v>
      </c>
      <c r="E183" s="22">
        <v>45154.0</v>
      </c>
      <c r="F183" s="21" t="s">
        <v>38</v>
      </c>
      <c r="G183" s="23">
        <v>1.7</v>
      </c>
      <c r="H183" s="24">
        <v>1.0</v>
      </c>
      <c r="I183" s="24">
        <v>1.0</v>
      </c>
      <c r="J183" s="24">
        <v>45.0</v>
      </c>
      <c r="K183" s="21" t="s">
        <v>19</v>
      </c>
      <c r="L183" s="21" t="s">
        <v>47</v>
      </c>
      <c r="M183" s="24">
        <v>0.0</v>
      </c>
      <c r="X183" s="24">
        <f>IFERROR(__xludf.DUMMYFUNCTION("""COMPUTED_VALUE"""),32.0)</f>
        <v>32</v>
      </c>
      <c r="Y183" s="21"/>
      <c r="Z183" s="24"/>
    </row>
    <row r="184">
      <c r="A184" s="21" t="s">
        <v>388</v>
      </c>
      <c r="B184" s="21" t="s">
        <v>389</v>
      </c>
      <c r="C184" s="22">
        <v>45208.0</v>
      </c>
      <c r="D184" s="22" t="str">
        <f t="shared" si="1"/>
        <v>10.2023</v>
      </c>
      <c r="E184" s="22">
        <v>45220.0</v>
      </c>
      <c r="F184" s="21" t="s">
        <v>14</v>
      </c>
      <c r="G184" s="23">
        <v>0.5</v>
      </c>
      <c r="H184" s="24">
        <v>71.0</v>
      </c>
      <c r="I184" s="24">
        <v>0.0</v>
      </c>
      <c r="J184" s="24">
        <v>21.0</v>
      </c>
      <c r="K184" s="21" t="s">
        <v>15</v>
      </c>
      <c r="L184" s="21" t="s">
        <v>16</v>
      </c>
      <c r="M184" s="24">
        <v>1.0</v>
      </c>
      <c r="X184" s="24">
        <f>IFERROR(__xludf.DUMMYFUNCTION("""COMPUTED_VALUE"""),56.0)</f>
        <v>56</v>
      </c>
      <c r="Y184" s="21"/>
      <c r="Z184" s="24"/>
    </row>
    <row r="185">
      <c r="A185" s="21" t="s">
        <v>390</v>
      </c>
      <c r="B185" s="21" t="s">
        <v>391</v>
      </c>
      <c r="C185" s="22">
        <v>45139.0</v>
      </c>
      <c r="D185" s="22" t="str">
        <f t="shared" si="1"/>
        <v>08.2023</v>
      </c>
      <c r="E185" s="22">
        <v>45151.0</v>
      </c>
      <c r="F185" s="21" t="s">
        <v>29</v>
      </c>
      <c r="G185" s="23">
        <v>3.8</v>
      </c>
      <c r="H185" s="24">
        <v>55.0</v>
      </c>
      <c r="I185" s="24">
        <v>1.0</v>
      </c>
      <c r="J185" s="24">
        <v>36.0</v>
      </c>
      <c r="K185" s="21" t="s">
        <v>23</v>
      </c>
      <c r="L185" s="21" t="s">
        <v>26</v>
      </c>
      <c r="M185" s="24">
        <v>0.0</v>
      </c>
      <c r="X185" s="24">
        <f>IFERROR(__xludf.DUMMYFUNCTION("""COMPUTED_VALUE"""),43.0)</f>
        <v>43</v>
      </c>
      <c r="Y185" s="21"/>
      <c r="Z185" s="24"/>
    </row>
    <row r="186">
      <c r="A186" s="21" t="s">
        <v>392</v>
      </c>
      <c r="B186" s="21" t="s">
        <v>393</v>
      </c>
      <c r="C186" s="22">
        <v>45255.0</v>
      </c>
      <c r="D186" s="22" t="str">
        <f t="shared" si="1"/>
        <v>11.2023</v>
      </c>
      <c r="E186" s="22">
        <v>45267.0</v>
      </c>
      <c r="F186" s="21" t="s">
        <v>14</v>
      </c>
      <c r="G186" s="23">
        <v>4.0</v>
      </c>
      <c r="H186" s="24">
        <v>59.0</v>
      </c>
      <c r="I186" s="24">
        <v>0.0</v>
      </c>
      <c r="J186" s="24">
        <v>26.0</v>
      </c>
      <c r="K186" s="21" t="s">
        <v>19</v>
      </c>
      <c r="L186" s="21" t="s">
        <v>26</v>
      </c>
      <c r="M186" s="24">
        <v>1.0</v>
      </c>
      <c r="X186" s="24">
        <f>IFERROR(__xludf.DUMMYFUNCTION("""COMPUTED_VALUE"""),26.0)</f>
        <v>26</v>
      </c>
      <c r="Y186" s="21"/>
      <c r="Z186" s="24"/>
    </row>
    <row r="187">
      <c r="A187" s="21" t="s">
        <v>394</v>
      </c>
      <c r="B187" s="21" t="s">
        <v>395</v>
      </c>
      <c r="C187" s="22">
        <v>44965.0</v>
      </c>
      <c r="D187" s="22" t="str">
        <f t="shared" si="1"/>
        <v>02.2023</v>
      </c>
      <c r="E187" s="22">
        <v>44977.0</v>
      </c>
      <c r="F187" s="21" t="s">
        <v>22</v>
      </c>
      <c r="G187" s="23">
        <v>4.1</v>
      </c>
      <c r="H187" s="24">
        <v>86.0</v>
      </c>
      <c r="I187" s="24">
        <v>0.0</v>
      </c>
      <c r="J187" s="24">
        <v>52.0</v>
      </c>
      <c r="K187" s="21" t="s">
        <v>15</v>
      </c>
      <c r="L187" s="21" t="s">
        <v>16</v>
      </c>
      <c r="M187" s="24">
        <v>1.0</v>
      </c>
      <c r="X187" s="24">
        <f>IFERROR(__xludf.DUMMYFUNCTION("""COMPUTED_VALUE"""),15.0)</f>
        <v>15</v>
      </c>
      <c r="Y187" s="21"/>
      <c r="Z187" s="24"/>
    </row>
    <row r="188">
      <c r="A188" s="21" t="s">
        <v>396</v>
      </c>
      <c r="B188" s="21" t="s">
        <v>397</v>
      </c>
      <c r="C188" s="22">
        <v>45158.0</v>
      </c>
      <c r="D188" s="22" t="str">
        <f t="shared" si="1"/>
        <v>08.2023</v>
      </c>
      <c r="E188" s="22">
        <v>45170.0</v>
      </c>
      <c r="F188" s="21" t="s">
        <v>29</v>
      </c>
      <c r="G188" s="23">
        <v>0.7</v>
      </c>
      <c r="H188" s="24">
        <v>7.0</v>
      </c>
      <c r="I188" s="24">
        <v>1.0</v>
      </c>
      <c r="J188" s="24">
        <v>49.0</v>
      </c>
      <c r="K188" s="21" t="s">
        <v>35</v>
      </c>
      <c r="L188" s="21" t="s">
        <v>47</v>
      </c>
      <c r="M188" s="24">
        <v>1.0</v>
      </c>
      <c r="X188" s="24">
        <f>IFERROR(__xludf.DUMMYFUNCTION("""COMPUTED_VALUE"""),30.0)</f>
        <v>30</v>
      </c>
      <c r="Y188" s="21"/>
      <c r="Z188" s="24"/>
    </row>
    <row r="189">
      <c r="A189" s="21" t="s">
        <v>398</v>
      </c>
      <c r="B189" s="21" t="s">
        <v>399</v>
      </c>
      <c r="C189" s="22">
        <v>45233.0</v>
      </c>
      <c r="D189" s="22" t="str">
        <f t="shared" si="1"/>
        <v>11.2023</v>
      </c>
      <c r="E189" s="22">
        <v>45245.0</v>
      </c>
      <c r="F189" s="21" t="s">
        <v>38</v>
      </c>
      <c r="G189" s="23">
        <v>2.6</v>
      </c>
      <c r="H189" s="24">
        <v>40.0</v>
      </c>
      <c r="I189" s="24">
        <v>1.0</v>
      </c>
      <c r="J189" s="24">
        <v>23.0</v>
      </c>
      <c r="K189" s="21" t="s">
        <v>19</v>
      </c>
      <c r="L189" s="21" t="s">
        <v>26</v>
      </c>
      <c r="M189" s="24">
        <v>1.0</v>
      </c>
      <c r="X189" s="24">
        <f>IFERROR(__xludf.DUMMYFUNCTION("""COMPUTED_VALUE"""),34.0)</f>
        <v>34</v>
      </c>
      <c r="Y189" s="21"/>
      <c r="Z189" s="24"/>
    </row>
    <row r="190">
      <c r="A190" s="21" t="s">
        <v>400</v>
      </c>
      <c r="B190" s="21" t="s">
        <v>401</v>
      </c>
      <c r="C190" s="22">
        <v>45070.0</v>
      </c>
      <c r="D190" s="22" t="str">
        <f t="shared" si="1"/>
        <v>05.2023</v>
      </c>
      <c r="E190" s="22">
        <v>45082.0</v>
      </c>
      <c r="F190" s="21" t="s">
        <v>14</v>
      </c>
      <c r="G190" s="23">
        <v>2.1</v>
      </c>
      <c r="H190" s="24">
        <v>24.0</v>
      </c>
      <c r="I190" s="24">
        <v>1.0</v>
      </c>
      <c r="J190" s="24">
        <v>50.0</v>
      </c>
      <c r="K190" s="21" t="s">
        <v>35</v>
      </c>
      <c r="L190" s="21" t="s">
        <v>26</v>
      </c>
      <c r="M190" s="24">
        <v>0.0</v>
      </c>
      <c r="X190" s="24">
        <f>IFERROR(__xludf.DUMMYFUNCTION("""COMPUTED_VALUE"""),39.0)</f>
        <v>39</v>
      </c>
      <c r="Y190" s="21"/>
      <c r="Z190" s="24"/>
    </row>
    <row r="191">
      <c r="A191" s="21" t="s">
        <v>402</v>
      </c>
      <c r="B191" s="21" t="s">
        <v>403</v>
      </c>
      <c r="C191" s="22">
        <v>45130.0</v>
      </c>
      <c r="D191" s="22" t="str">
        <f t="shared" si="1"/>
        <v>07.2023</v>
      </c>
      <c r="E191" s="22">
        <v>45142.0</v>
      </c>
      <c r="F191" s="21" t="s">
        <v>38</v>
      </c>
      <c r="G191" s="23">
        <v>1.9</v>
      </c>
      <c r="H191" s="24">
        <v>26.0</v>
      </c>
      <c r="I191" s="24">
        <v>1.0</v>
      </c>
      <c r="J191" s="24">
        <v>56.0</v>
      </c>
      <c r="K191" s="21" t="s">
        <v>32</v>
      </c>
      <c r="L191" s="21" t="s">
        <v>26</v>
      </c>
      <c r="M191" s="24">
        <v>0.0</v>
      </c>
      <c r="X191" s="24">
        <f>IFERROR(__xludf.DUMMYFUNCTION("""COMPUTED_VALUE"""),23.0)</f>
        <v>23</v>
      </c>
      <c r="Y191" s="21"/>
      <c r="Z191" s="24"/>
    </row>
    <row r="192">
      <c r="A192" s="21" t="s">
        <v>404</v>
      </c>
      <c r="B192" s="21" t="s">
        <v>405</v>
      </c>
      <c r="C192" s="22">
        <v>45209.0</v>
      </c>
      <c r="D192" s="22" t="str">
        <f t="shared" si="1"/>
        <v>10.2023</v>
      </c>
      <c r="E192" s="22">
        <v>45221.0</v>
      </c>
      <c r="F192" s="21" t="s">
        <v>38</v>
      </c>
      <c r="G192" s="23">
        <v>0.2</v>
      </c>
      <c r="H192" s="24">
        <v>83.0</v>
      </c>
      <c r="I192" s="24">
        <v>1.0</v>
      </c>
      <c r="J192" s="24">
        <v>33.0</v>
      </c>
      <c r="K192" s="21" t="s">
        <v>19</v>
      </c>
      <c r="L192" s="21" t="s">
        <v>26</v>
      </c>
      <c r="M192" s="24">
        <v>1.0</v>
      </c>
      <c r="X192" s="24">
        <f>IFERROR(__xludf.DUMMYFUNCTION("""COMPUTED_VALUE"""),12.0)</f>
        <v>12</v>
      </c>
      <c r="Y192" s="21"/>
      <c r="Z192" s="24"/>
    </row>
    <row r="193">
      <c r="A193" s="21" t="s">
        <v>406</v>
      </c>
      <c r="B193" s="21" t="s">
        <v>407</v>
      </c>
      <c r="C193" s="22">
        <v>45002.0</v>
      </c>
      <c r="D193" s="22" t="str">
        <f t="shared" si="1"/>
        <v>03.2023</v>
      </c>
      <c r="E193" s="22">
        <v>45014.0</v>
      </c>
      <c r="F193" s="21" t="s">
        <v>38</v>
      </c>
      <c r="G193" s="23">
        <v>3.5</v>
      </c>
      <c r="H193" s="24">
        <v>81.0</v>
      </c>
      <c r="I193" s="24">
        <v>1.0</v>
      </c>
      <c r="J193" s="24">
        <v>53.0</v>
      </c>
      <c r="K193" s="21" t="s">
        <v>35</v>
      </c>
      <c r="L193" s="21" t="s">
        <v>16</v>
      </c>
      <c r="M193" s="24">
        <v>1.0</v>
      </c>
      <c r="X193" s="24">
        <f>IFERROR(__xludf.DUMMYFUNCTION("""COMPUTED_VALUE"""),55.0)</f>
        <v>55</v>
      </c>
      <c r="Y193" s="21"/>
      <c r="Z193" s="24"/>
    </row>
    <row r="194">
      <c r="A194" s="21" t="s">
        <v>408</v>
      </c>
      <c r="B194" s="21" t="s">
        <v>409</v>
      </c>
      <c r="C194" s="22">
        <v>45209.0</v>
      </c>
      <c r="D194" s="22" t="str">
        <f t="shared" si="1"/>
        <v>10.2023</v>
      </c>
      <c r="E194" s="22">
        <v>45221.0</v>
      </c>
      <c r="F194" s="21" t="s">
        <v>38</v>
      </c>
      <c r="G194" s="23">
        <v>3.7</v>
      </c>
      <c r="H194" s="24">
        <v>75.0</v>
      </c>
      <c r="I194" s="24">
        <v>0.0</v>
      </c>
      <c r="J194" s="24">
        <v>31.0</v>
      </c>
      <c r="K194" s="21" t="s">
        <v>35</v>
      </c>
      <c r="L194" s="21" t="s">
        <v>26</v>
      </c>
      <c r="M194" s="24">
        <v>1.0</v>
      </c>
      <c r="X194" s="24">
        <f>IFERROR(__xludf.DUMMYFUNCTION("""COMPUTED_VALUE"""),33.0)</f>
        <v>33</v>
      </c>
      <c r="Y194" s="21"/>
      <c r="Z194" s="24"/>
    </row>
    <row r="195">
      <c r="A195" s="21" t="s">
        <v>410</v>
      </c>
      <c r="B195" s="21" t="s">
        <v>411</v>
      </c>
      <c r="C195" s="22">
        <v>45211.0</v>
      </c>
      <c r="D195" s="22" t="str">
        <f t="shared" si="1"/>
        <v>10.2023</v>
      </c>
      <c r="E195" s="22">
        <v>45223.0</v>
      </c>
      <c r="F195" s="21" t="s">
        <v>29</v>
      </c>
      <c r="G195" s="23">
        <v>2.3</v>
      </c>
      <c r="H195" s="24">
        <v>60.0</v>
      </c>
      <c r="I195" s="24">
        <v>0.0</v>
      </c>
      <c r="J195" s="24">
        <v>32.0</v>
      </c>
      <c r="K195" s="21" t="s">
        <v>32</v>
      </c>
      <c r="L195" s="21" t="s">
        <v>16</v>
      </c>
      <c r="M195" s="24">
        <v>0.0</v>
      </c>
      <c r="X195" s="24">
        <f>IFERROR(__xludf.DUMMYFUNCTION("""COMPUTED_VALUE"""),25.0)</f>
        <v>25</v>
      </c>
      <c r="Y195" s="21"/>
      <c r="Z195" s="24"/>
    </row>
    <row r="196">
      <c r="A196" s="21" t="s">
        <v>412</v>
      </c>
      <c r="B196" s="21" t="s">
        <v>413</v>
      </c>
      <c r="C196" s="22">
        <v>45252.0</v>
      </c>
      <c r="D196" s="22" t="str">
        <f t="shared" si="1"/>
        <v>11.2023</v>
      </c>
      <c r="E196" s="22">
        <v>45264.0</v>
      </c>
      <c r="F196" s="21" t="s">
        <v>29</v>
      </c>
      <c r="G196" s="23">
        <v>1.5</v>
      </c>
      <c r="H196" s="24">
        <v>34.0</v>
      </c>
      <c r="I196" s="24">
        <v>0.0</v>
      </c>
      <c r="J196" s="24">
        <v>20.0</v>
      </c>
      <c r="K196" s="21" t="s">
        <v>35</v>
      </c>
      <c r="L196" s="21" t="s">
        <v>26</v>
      </c>
      <c r="M196" s="24">
        <v>1.0</v>
      </c>
      <c r="X196" s="24">
        <f>IFERROR(__xludf.DUMMYFUNCTION("""COMPUTED_VALUE"""),39.0)</f>
        <v>39</v>
      </c>
      <c r="Y196" s="21"/>
      <c r="Z196" s="24"/>
    </row>
    <row r="197">
      <c r="A197" s="21" t="s">
        <v>414</v>
      </c>
      <c r="B197" s="21" t="s">
        <v>415</v>
      </c>
      <c r="C197" s="22">
        <v>44984.0</v>
      </c>
      <c r="D197" s="22" t="str">
        <f t="shared" si="1"/>
        <v>02.2023</v>
      </c>
      <c r="E197" s="22">
        <v>44996.0</v>
      </c>
      <c r="F197" s="21" t="s">
        <v>22</v>
      </c>
      <c r="G197" s="23">
        <v>1.2</v>
      </c>
      <c r="H197" s="24">
        <v>96.0</v>
      </c>
      <c r="I197" s="24">
        <v>1.0</v>
      </c>
      <c r="J197" s="24">
        <v>28.0</v>
      </c>
      <c r="K197" s="21" t="s">
        <v>23</v>
      </c>
      <c r="L197" s="21" t="s">
        <v>26</v>
      </c>
      <c r="M197" s="24">
        <v>1.0</v>
      </c>
      <c r="X197" s="24">
        <f>IFERROR(__xludf.DUMMYFUNCTION("""COMPUTED_VALUE"""),45.0)</f>
        <v>45</v>
      </c>
      <c r="Y197" s="21"/>
      <c r="Z197" s="24"/>
    </row>
    <row r="198">
      <c r="A198" s="21" t="s">
        <v>416</v>
      </c>
      <c r="B198" s="21" t="s">
        <v>417</v>
      </c>
      <c r="C198" s="22">
        <v>44940.0</v>
      </c>
      <c r="D198" s="22" t="str">
        <f t="shared" si="1"/>
        <v>01.2023</v>
      </c>
      <c r="E198" s="22">
        <v>44952.0</v>
      </c>
      <c r="F198" s="21" t="s">
        <v>22</v>
      </c>
      <c r="G198" s="23">
        <v>2.2</v>
      </c>
      <c r="H198" s="24">
        <v>57.0</v>
      </c>
      <c r="I198" s="24">
        <v>1.0</v>
      </c>
      <c r="J198" s="24">
        <v>22.0</v>
      </c>
      <c r="K198" s="21" t="s">
        <v>35</v>
      </c>
      <c r="L198" s="21" t="s">
        <v>16</v>
      </c>
      <c r="M198" s="24">
        <v>0.0</v>
      </c>
      <c r="X198" s="24">
        <f>IFERROR(__xludf.DUMMYFUNCTION("""COMPUTED_VALUE"""),44.0)</f>
        <v>44</v>
      </c>
      <c r="Y198" s="21"/>
      <c r="Z198" s="24"/>
    </row>
    <row r="199">
      <c r="A199" s="21" t="s">
        <v>418</v>
      </c>
      <c r="B199" s="21" t="s">
        <v>419</v>
      </c>
      <c r="C199" s="22">
        <v>45205.0</v>
      </c>
      <c r="D199" s="22" t="str">
        <f t="shared" si="1"/>
        <v>10.2023</v>
      </c>
      <c r="E199" s="22">
        <v>45217.0</v>
      </c>
      <c r="F199" s="21" t="s">
        <v>29</v>
      </c>
      <c r="G199" s="23">
        <v>3.2</v>
      </c>
      <c r="H199" s="24">
        <v>90.0</v>
      </c>
      <c r="I199" s="24">
        <v>1.0</v>
      </c>
      <c r="J199" s="24">
        <v>12.0</v>
      </c>
      <c r="K199" s="21" t="s">
        <v>35</v>
      </c>
      <c r="L199" s="21" t="s">
        <v>26</v>
      </c>
      <c r="M199" s="24">
        <v>1.0</v>
      </c>
      <c r="X199" s="24">
        <f>IFERROR(__xludf.DUMMYFUNCTION("""COMPUTED_VALUE"""),51.0)</f>
        <v>51</v>
      </c>
      <c r="Y199" s="21"/>
      <c r="Z199" s="24"/>
    </row>
    <row r="200">
      <c r="A200" s="21" t="s">
        <v>420</v>
      </c>
      <c r="B200" s="21" t="s">
        <v>421</v>
      </c>
      <c r="C200" s="22">
        <v>45178.0</v>
      </c>
      <c r="D200" s="22" t="str">
        <f t="shared" si="1"/>
        <v>09.2023</v>
      </c>
      <c r="E200" s="22">
        <v>45190.0</v>
      </c>
      <c r="F200" s="21" t="s">
        <v>38</v>
      </c>
      <c r="G200" s="23">
        <v>0.4</v>
      </c>
      <c r="H200" s="24">
        <v>65.0</v>
      </c>
      <c r="I200" s="24">
        <v>0.0</v>
      </c>
      <c r="J200" s="24">
        <v>51.0</v>
      </c>
      <c r="K200" s="21" t="s">
        <v>23</v>
      </c>
      <c r="L200" s="21" t="s">
        <v>26</v>
      </c>
      <c r="M200" s="24">
        <v>0.0</v>
      </c>
      <c r="X200" s="24">
        <f>IFERROR(__xludf.DUMMYFUNCTION("""COMPUTED_VALUE"""),30.0)</f>
        <v>30</v>
      </c>
      <c r="Y200" s="21"/>
      <c r="Z200" s="24"/>
    </row>
    <row r="201">
      <c r="A201" s="21" t="s">
        <v>422</v>
      </c>
      <c r="B201" s="21" t="s">
        <v>423</v>
      </c>
      <c r="C201" s="22">
        <v>45178.0</v>
      </c>
      <c r="D201" s="22" t="str">
        <f t="shared" si="1"/>
        <v>09.2023</v>
      </c>
      <c r="E201" s="22">
        <v>45190.0</v>
      </c>
      <c r="F201" s="21" t="s">
        <v>29</v>
      </c>
      <c r="G201" s="23">
        <v>0.6</v>
      </c>
      <c r="H201" s="24">
        <v>79.0</v>
      </c>
      <c r="I201" s="24">
        <v>0.0</v>
      </c>
      <c r="J201" s="24">
        <v>41.0</v>
      </c>
      <c r="K201" s="21" t="s">
        <v>35</v>
      </c>
      <c r="L201" s="21" t="s">
        <v>16</v>
      </c>
      <c r="M201" s="24">
        <v>1.0</v>
      </c>
      <c r="X201" s="24">
        <f>IFERROR(__xludf.DUMMYFUNCTION("""COMPUTED_VALUE"""),34.0)</f>
        <v>34</v>
      </c>
      <c r="Y201" s="21"/>
      <c r="Z201" s="24"/>
    </row>
    <row r="202">
      <c r="A202" s="21" t="s">
        <v>424</v>
      </c>
      <c r="B202" s="21" t="s">
        <v>425</v>
      </c>
      <c r="C202" s="22">
        <v>45244.0</v>
      </c>
      <c r="D202" s="22" t="str">
        <f t="shared" si="1"/>
        <v>11.2023</v>
      </c>
      <c r="E202" s="22">
        <v>45256.0</v>
      </c>
      <c r="F202" s="21" t="s">
        <v>22</v>
      </c>
      <c r="G202" s="23">
        <v>2.5</v>
      </c>
      <c r="H202" s="24">
        <v>0.0</v>
      </c>
      <c r="I202" s="24">
        <v>0.0</v>
      </c>
      <c r="J202" s="24">
        <v>44.0</v>
      </c>
      <c r="K202" s="21" t="s">
        <v>32</v>
      </c>
      <c r="L202" s="21" t="s">
        <v>47</v>
      </c>
      <c r="M202" s="24">
        <v>1.0</v>
      </c>
      <c r="X202" s="24">
        <f>IFERROR(__xludf.DUMMYFUNCTION("""COMPUTED_VALUE"""),53.0)</f>
        <v>53</v>
      </c>
      <c r="Y202" s="21"/>
      <c r="Z202" s="24"/>
    </row>
    <row r="203">
      <c r="A203" s="21" t="s">
        <v>426</v>
      </c>
      <c r="B203" s="21" t="s">
        <v>427</v>
      </c>
      <c r="C203" s="22">
        <v>45017.0</v>
      </c>
      <c r="D203" s="22" t="str">
        <f t="shared" si="1"/>
        <v>04.2023</v>
      </c>
      <c r="E203" s="22">
        <v>45029.0</v>
      </c>
      <c r="F203" s="21" t="s">
        <v>14</v>
      </c>
      <c r="G203" s="23">
        <v>3.1</v>
      </c>
      <c r="H203" s="24">
        <v>52.0</v>
      </c>
      <c r="I203" s="24">
        <v>0.0</v>
      </c>
      <c r="J203" s="24">
        <v>46.0</v>
      </c>
      <c r="K203" s="21" t="s">
        <v>32</v>
      </c>
      <c r="L203" s="21" t="s">
        <v>16</v>
      </c>
      <c r="M203" s="24">
        <v>0.0</v>
      </c>
      <c r="X203" s="24">
        <f>IFERROR(__xludf.DUMMYFUNCTION("""COMPUTED_VALUE"""),36.0)</f>
        <v>36</v>
      </c>
      <c r="Y203" s="21"/>
      <c r="Z203" s="24"/>
    </row>
    <row r="204">
      <c r="A204" s="21" t="s">
        <v>428</v>
      </c>
      <c r="B204" s="21" t="s">
        <v>429</v>
      </c>
      <c r="C204" s="22">
        <v>44989.0</v>
      </c>
      <c r="D204" s="22" t="str">
        <f t="shared" si="1"/>
        <v>03.2023</v>
      </c>
      <c r="E204" s="22">
        <v>45001.0</v>
      </c>
      <c r="F204" s="21" t="s">
        <v>22</v>
      </c>
      <c r="G204" s="23">
        <v>3.3</v>
      </c>
      <c r="H204" s="24">
        <v>49.0</v>
      </c>
      <c r="I204" s="24">
        <v>1.0</v>
      </c>
      <c r="J204" s="24">
        <v>38.0</v>
      </c>
      <c r="K204" s="21" t="s">
        <v>32</v>
      </c>
      <c r="L204" s="21" t="s">
        <v>47</v>
      </c>
      <c r="M204" s="24">
        <v>1.0</v>
      </c>
      <c r="X204" s="24">
        <f>IFERROR(__xludf.DUMMYFUNCTION("""COMPUTED_VALUE"""),12.0)</f>
        <v>12</v>
      </c>
      <c r="Y204" s="21"/>
      <c r="Z204" s="24"/>
    </row>
    <row r="205">
      <c r="A205" s="21" t="s">
        <v>430</v>
      </c>
      <c r="B205" s="21" t="s">
        <v>431</v>
      </c>
      <c r="C205" s="22">
        <v>45060.0</v>
      </c>
      <c r="D205" s="22" t="str">
        <f t="shared" si="1"/>
        <v>05.2023</v>
      </c>
      <c r="E205" s="22">
        <v>45072.0</v>
      </c>
      <c r="F205" s="21" t="s">
        <v>38</v>
      </c>
      <c r="G205" s="23">
        <v>3.0</v>
      </c>
      <c r="H205" s="24">
        <v>55.0</v>
      </c>
      <c r="I205" s="24">
        <v>0.0</v>
      </c>
      <c r="J205" s="24">
        <v>18.0</v>
      </c>
      <c r="K205" s="21" t="s">
        <v>35</v>
      </c>
      <c r="L205" s="21" t="s">
        <v>16</v>
      </c>
      <c r="M205" s="24">
        <v>0.0</v>
      </c>
      <c r="X205" s="24">
        <f>IFERROR(__xludf.DUMMYFUNCTION("""COMPUTED_VALUE"""),13.0)</f>
        <v>13</v>
      </c>
      <c r="Y205" s="21"/>
      <c r="Z205" s="24"/>
    </row>
    <row r="206">
      <c r="A206" s="21" t="s">
        <v>432</v>
      </c>
      <c r="B206" s="21" t="s">
        <v>433</v>
      </c>
      <c r="C206" s="22">
        <v>45265.0</v>
      </c>
      <c r="D206" s="22" t="str">
        <f t="shared" si="1"/>
        <v>12.2023</v>
      </c>
      <c r="E206" s="22">
        <v>45277.0</v>
      </c>
      <c r="F206" s="21" t="s">
        <v>14</v>
      </c>
      <c r="G206" s="23">
        <v>3.6</v>
      </c>
      <c r="H206" s="24">
        <v>66.0</v>
      </c>
      <c r="I206" s="24">
        <v>1.0</v>
      </c>
      <c r="J206" s="24">
        <v>43.0</v>
      </c>
      <c r="K206" s="21" t="s">
        <v>15</v>
      </c>
      <c r="L206" s="21" t="s">
        <v>16</v>
      </c>
      <c r="M206" s="24">
        <v>1.0</v>
      </c>
      <c r="X206" s="24">
        <f>IFERROR(__xludf.DUMMYFUNCTION("""COMPUTED_VALUE"""),43.0)</f>
        <v>43</v>
      </c>
      <c r="Y206" s="21"/>
      <c r="Z206" s="24"/>
    </row>
    <row r="207">
      <c r="A207" s="21" t="s">
        <v>434</v>
      </c>
      <c r="B207" s="21" t="s">
        <v>435</v>
      </c>
      <c r="C207" s="22">
        <v>45227.0</v>
      </c>
      <c r="D207" s="22" t="str">
        <f t="shared" si="1"/>
        <v>10.2023</v>
      </c>
      <c r="E207" s="22">
        <v>45239.0</v>
      </c>
      <c r="F207" s="21" t="s">
        <v>22</v>
      </c>
      <c r="G207" s="23">
        <v>4.9</v>
      </c>
      <c r="H207" s="24">
        <v>21.0</v>
      </c>
      <c r="I207" s="24">
        <v>1.0</v>
      </c>
      <c r="J207" s="24">
        <v>19.0</v>
      </c>
      <c r="K207" s="21" t="s">
        <v>32</v>
      </c>
      <c r="L207" s="21" t="s">
        <v>47</v>
      </c>
      <c r="M207" s="24">
        <v>0.0</v>
      </c>
      <c r="X207" s="24">
        <f>IFERROR(__xludf.DUMMYFUNCTION("""COMPUTED_VALUE"""),50.0)</f>
        <v>50</v>
      </c>
      <c r="Y207" s="21"/>
      <c r="Z207" s="24"/>
    </row>
    <row r="208">
      <c r="A208" s="21" t="s">
        <v>436</v>
      </c>
      <c r="B208" s="21" t="s">
        <v>437</v>
      </c>
      <c r="C208" s="22">
        <v>45147.0</v>
      </c>
      <c r="D208" s="22" t="str">
        <f t="shared" si="1"/>
        <v>08.2023</v>
      </c>
      <c r="E208" s="22">
        <v>45159.0</v>
      </c>
      <c r="F208" s="21" t="s">
        <v>29</v>
      </c>
      <c r="G208" s="23">
        <v>4.0</v>
      </c>
      <c r="H208" s="24">
        <v>62.0</v>
      </c>
      <c r="I208" s="24">
        <v>1.0</v>
      </c>
      <c r="J208" s="24">
        <v>16.0</v>
      </c>
      <c r="K208" s="21" t="s">
        <v>19</v>
      </c>
      <c r="L208" s="21" t="s">
        <v>26</v>
      </c>
      <c r="M208" s="24">
        <v>0.0</v>
      </c>
      <c r="X208" s="24">
        <f>IFERROR(__xludf.DUMMYFUNCTION("""COMPUTED_VALUE"""),47.0)</f>
        <v>47</v>
      </c>
      <c r="Y208" s="21"/>
      <c r="Z208" s="24"/>
    </row>
    <row r="209">
      <c r="A209" s="21" t="s">
        <v>438</v>
      </c>
      <c r="B209" s="21" t="s">
        <v>439</v>
      </c>
      <c r="C209" s="22">
        <v>44994.0</v>
      </c>
      <c r="D209" s="22" t="str">
        <f t="shared" si="1"/>
        <v>03.2023</v>
      </c>
      <c r="E209" s="22">
        <v>45006.0</v>
      </c>
      <c r="F209" s="21" t="s">
        <v>14</v>
      </c>
      <c r="G209" s="23">
        <v>1.1</v>
      </c>
      <c r="H209" s="24">
        <v>24.0</v>
      </c>
      <c r="I209" s="24">
        <v>1.0</v>
      </c>
      <c r="J209" s="24">
        <v>13.0</v>
      </c>
      <c r="K209" s="21" t="s">
        <v>32</v>
      </c>
      <c r="L209" s="21" t="s">
        <v>26</v>
      </c>
      <c r="M209" s="24">
        <v>0.0</v>
      </c>
      <c r="X209" s="24">
        <f>IFERROR(__xludf.DUMMYFUNCTION("""COMPUTED_VALUE"""),27.0)</f>
        <v>27</v>
      </c>
      <c r="Y209" s="21"/>
      <c r="Z209" s="24"/>
    </row>
    <row r="210">
      <c r="A210" s="21" t="s">
        <v>440</v>
      </c>
      <c r="B210" s="21" t="s">
        <v>441</v>
      </c>
      <c r="C210" s="22">
        <v>44950.0</v>
      </c>
      <c r="D210" s="22" t="str">
        <f t="shared" si="1"/>
        <v>01.2023</v>
      </c>
      <c r="E210" s="22">
        <v>44962.0</v>
      </c>
      <c r="F210" s="21" t="s">
        <v>22</v>
      </c>
      <c r="G210" s="23">
        <v>0.3</v>
      </c>
      <c r="H210" s="24">
        <v>54.0</v>
      </c>
      <c r="I210" s="24">
        <v>0.0</v>
      </c>
      <c r="J210" s="24">
        <v>47.0</v>
      </c>
      <c r="K210" s="21" t="s">
        <v>15</v>
      </c>
      <c r="L210" s="21" t="s">
        <v>47</v>
      </c>
      <c r="M210" s="24">
        <v>0.0</v>
      </c>
      <c r="X210" s="24">
        <f>IFERROR(__xludf.DUMMYFUNCTION("""COMPUTED_VALUE"""),20.0)</f>
        <v>20</v>
      </c>
      <c r="Y210" s="21"/>
      <c r="Z210" s="24"/>
    </row>
    <row r="211">
      <c r="A211" s="21" t="s">
        <v>442</v>
      </c>
      <c r="B211" s="21" t="s">
        <v>443</v>
      </c>
      <c r="C211" s="22">
        <v>44932.0</v>
      </c>
      <c r="D211" s="22" t="str">
        <f t="shared" si="1"/>
        <v>01.2023</v>
      </c>
      <c r="E211" s="22">
        <v>44944.0</v>
      </c>
      <c r="F211" s="21" t="s">
        <v>14</v>
      </c>
      <c r="G211" s="23">
        <v>1.0</v>
      </c>
      <c r="H211" s="24">
        <v>1.0</v>
      </c>
      <c r="I211" s="24">
        <v>0.0</v>
      </c>
      <c r="J211" s="24">
        <v>55.0</v>
      </c>
      <c r="K211" s="21" t="s">
        <v>19</v>
      </c>
      <c r="L211" s="21" t="s">
        <v>26</v>
      </c>
      <c r="M211" s="24">
        <v>1.0</v>
      </c>
      <c r="X211" s="24">
        <f>IFERROR(__xludf.DUMMYFUNCTION("""COMPUTED_VALUE"""),42.0)</f>
        <v>42</v>
      </c>
      <c r="Y211" s="21"/>
      <c r="Z211" s="24"/>
    </row>
    <row r="212">
      <c r="A212" s="21" t="s">
        <v>444</v>
      </c>
      <c r="B212" s="21" t="s">
        <v>445</v>
      </c>
      <c r="C212" s="22">
        <v>45145.0</v>
      </c>
      <c r="D212" s="22" t="str">
        <f t="shared" si="1"/>
        <v>08.2023</v>
      </c>
      <c r="E212" s="22">
        <v>45157.0</v>
      </c>
      <c r="F212" s="21" t="s">
        <v>14</v>
      </c>
      <c r="G212" s="23">
        <v>2.3</v>
      </c>
      <c r="H212" s="24">
        <v>26.0</v>
      </c>
      <c r="I212" s="24">
        <v>1.0</v>
      </c>
      <c r="J212" s="24">
        <v>34.0</v>
      </c>
      <c r="K212" s="21" t="s">
        <v>15</v>
      </c>
      <c r="L212" s="21" t="s">
        <v>16</v>
      </c>
      <c r="M212" s="24">
        <v>1.0</v>
      </c>
      <c r="X212" s="24">
        <f>IFERROR(__xludf.DUMMYFUNCTION("""COMPUTED_VALUE"""),52.0)</f>
        <v>52</v>
      </c>
      <c r="Y212" s="21"/>
      <c r="Z212" s="24"/>
    </row>
    <row r="213">
      <c r="A213" s="21" t="s">
        <v>446</v>
      </c>
      <c r="B213" s="21" t="s">
        <v>447</v>
      </c>
      <c r="C213" s="22">
        <v>44960.0</v>
      </c>
      <c r="D213" s="22" t="str">
        <f t="shared" si="1"/>
        <v>02.2023</v>
      </c>
      <c r="E213" s="22">
        <v>44972.0</v>
      </c>
      <c r="F213" s="21" t="s">
        <v>22</v>
      </c>
      <c r="G213" s="23">
        <v>4.4</v>
      </c>
      <c r="H213" s="24">
        <v>53.0</v>
      </c>
      <c r="I213" s="24">
        <v>1.0</v>
      </c>
      <c r="J213" s="24">
        <v>30.0</v>
      </c>
      <c r="K213" s="21" t="s">
        <v>19</v>
      </c>
      <c r="L213" s="21" t="s">
        <v>16</v>
      </c>
      <c r="M213" s="24">
        <v>0.0</v>
      </c>
      <c r="X213" s="24">
        <f>IFERROR(__xludf.DUMMYFUNCTION("""COMPUTED_VALUE"""),29.0)</f>
        <v>29</v>
      </c>
      <c r="Y213" s="21"/>
      <c r="Z213" s="24"/>
    </row>
    <row r="214">
      <c r="A214" s="21" t="s">
        <v>448</v>
      </c>
      <c r="B214" s="21" t="s">
        <v>449</v>
      </c>
      <c r="C214" s="22">
        <v>45056.0</v>
      </c>
      <c r="D214" s="22" t="str">
        <f t="shared" si="1"/>
        <v>05.2023</v>
      </c>
      <c r="E214" s="22">
        <v>45068.0</v>
      </c>
      <c r="F214" s="21" t="s">
        <v>22</v>
      </c>
      <c r="G214" s="23">
        <v>0.6</v>
      </c>
      <c r="H214" s="24">
        <v>86.0</v>
      </c>
      <c r="I214" s="24">
        <v>1.0</v>
      </c>
      <c r="J214" s="24">
        <v>35.0</v>
      </c>
      <c r="K214" s="21" t="s">
        <v>23</v>
      </c>
      <c r="L214" s="21" t="s">
        <v>16</v>
      </c>
      <c r="M214" s="24">
        <v>1.0</v>
      </c>
      <c r="X214" s="24">
        <f>IFERROR(__xludf.DUMMYFUNCTION("""COMPUTED_VALUE"""),54.0)</f>
        <v>54</v>
      </c>
      <c r="Y214" s="21"/>
      <c r="Z214" s="24"/>
    </row>
    <row r="215">
      <c r="A215" s="21" t="s">
        <v>450</v>
      </c>
      <c r="B215" s="21" t="s">
        <v>451</v>
      </c>
      <c r="C215" s="22">
        <v>44990.0</v>
      </c>
      <c r="D215" s="22" t="str">
        <f t="shared" si="1"/>
        <v>03.2023</v>
      </c>
      <c r="E215" s="22">
        <v>45002.0</v>
      </c>
      <c r="F215" s="21" t="s">
        <v>29</v>
      </c>
      <c r="G215" s="23">
        <v>4.7</v>
      </c>
      <c r="H215" s="24">
        <v>91.0</v>
      </c>
      <c r="I215" s="24">
        <v>0.0</v>
      </c>
      <c r="J215" s="24">
        <v>48.0</v>
      </c>
      <c r="K215" s="21" t="s">
        <v>15</v>
      </c>
      <c r="L215" s="21" t="s">
        <v>16</v>
      </c>
      <c r="M215" s="24">
        <v>1.0</v>
      </c>
      <c r="X215" s="24">
        <f>IFERROR(__xludf.DUMMYFUNCTION("""COMPUTED_VALUE"""),24.0)</f>
        <v>24</v>
      </c>
      <c r="Y215" s="21"/>
      <c r="Z215" s="24"/>
    </row>
    <row r="216">
      <c r="A216" s="21" t="s">
        <v>452</v>
      </c>
      <c r="B216" s="21" t="s">
        <v>453</v>
      </c>
      <c r="C216" s="22">
        <v>45011.0</v>
      </c>
      <c r="D216" s="22" t="str">
        <f t="shared" si="1"/>
        <v>03.2023</v>
      </c>
      <c r="E216" s="22">
        <v>45023.0</v>
      </c>
      <c r="F216" s="21" t="s">
        <v>38</v>
      </c>
      <c r="G216" s="23">
        <v>0.2</v>
      </c>
      <c r="H216" s="24">
        <v>36.0</v>
      </c>
      <c r="I216" s="24">
        <v>1.0</v>
      </c>
      <c r="J216" s="24">
        <v>42.0</v>
      </c>
      <c r="K216" s="21" t="s">
        <v>15</v>
      </c>
      <c r="L216" s="21" t="s">
        <v>16</v>
      </c>
      <c r="M216" s="24">
        <v>1.0</v>
      </c>
      <c r="X216" s="24">
        <f>IFERROR(__xludf.DUMMYFUNCTION("""COMPUTED_VALUE"""),22.0)</f>
        <v>22</v>
      </c>
      <c r="Y216" s="21"/>
      <c r="Z216" s="24"/>
    </row>
    <row r="217">
      <c r="A217" s="21" t="s">
        <v>454</v>
      </c>
      <c r="B217" s="21" t="s">
        <v>455</v>
      </c>
      <c r="C217" s="22">
        <v>45116.0</v>
      </c>
      <c r="D217" s="22" t="str">
        <f t="shared" si="1"/>
        <v>07.2023</v>
      </c>
      <c r="E217" s="22">
        <v>45128.0</v>
      </c>
      <c r="F217" s="21" t="s">
        <v>22</v>
      </c>
      <c r="G217" s="23">
        <v>2.8</v>
      </c>
      <c r="H217" s="24">
        <v>30.0</v>
      </c>
      <c r="I217" s="24">
        <v>0.0</v>
      </c>
      <c r="J217" s="24">
        <v>15.0</v>
      </c>
      <c r="K217" s="21" t="s">
        <v>15</v>
      </c>
      <c r="L217" s="21" t="s">
        <v>47</v>
      </c>
      <c r="M217" s="24">
        <v>0.0</v>
      </c>
      <c r="X217" s="24">
        <f>IFERROR(__xludf.DUMMYFUNCTION("""COMPUTED_VALUE"""),32.0)</f>
        <v>32</v>
      </c>
      <c r="Y217" s="21"/>
      <c r="Z217" s="24"/>
    </row>
    <row r="218">
      <c r="A218" s="21" t="s">
        <v>456</v>
      </c>
      <c r="B218" s="21" t="s">
        <v>457</v>
      </c>
      <c r="C218" s="22">
        <v>45274.0</v>
      </c>
      <c r="D218" s="22" t="str">
        <f t="shared" si="1"/>
        <v>12.2023</v>
      </c>
      <c r="E218" s="22">
        <v>45286.0</v>
      </c>
      <c r="F218" s="21" t="s">
        <v>38</v>
      </c>
      <c r="G218" s="23">
        <v>3.9</v>
      </c>
      <c r="H218" s="24">
        <v>63.0</v>
      </c>
      <c r="I218" s="24">
        <v>0.0</v>
      </c>
      <c r="J218" s="24">
        <v>40.0</v>
      </c>
      <c r="K218" s="21" t="s">
        <v>15</v>
      </c>
      <c r="L218" s="21" t="s">
        <v>47</v>
      </c>
      <c r="M218" s="24">
        <v>0.0</v>
      </c>
      <c r="X218" s="24">
        <f>IFERROR(__xludf.DUMMYFUNCTION("""COMPUTED_VALUE"""),41.0)</f>
        <v>41</v>
      </c>
      <c r="Y218" s="21"/>
      <c r="Z218" s="24"/>
    </row>
    <row r="219">
      <c r="A219" s="21" t="s">
        <v>458</v>
      </c>
      <c r="B219" s="21" t="s">
        <v>459</v>
      </c>
      <c r="C219" s="22">
        <v>45161.0</v>
      </c>
      <c r="D219" s="22" t="str">
        <f t="shared" si="1"/>
        <v>08.2023</v>
      </c>
      <c r="E219" s="22">
        <v>45173.0</v>
      </c>
      <c r="F219" s="21" t="s">
        <v>38</v>
      </c>
      <c r="G219" s="23">
        <v>5.0</v>
      </c>
      <c r="H219" s="24">
        <v>89.0</v>
      </c>
      <c r="I219" s="24">
        <v>1.0</v>
      </c>
      <c r="J219" s="24">
        <v>37.0</v>
      </c>
      <c r="K219" s="21" t="s">
        <v>19</v>
      </c>
      <c r="L219" s="21" t="s">
        <v>16</v>
      </c>
      <c r="M219" s="24">
        <v>1.0</v>
      </c>
      <c r="X219" s="24">
        <f>IFERROR(__xludf.DUMMYFUNCTION("""COMPUTED_VALUE"""),18.0)</f>
        <v>18</v>
      </c>
      <c r="Y219" s="21"/>
      <c r="Z219" s="24"/>
    </row>
    <row r="220">
      <c r="A220" s="21" t="s">
        <v>460</v>
      </c>
      <c r="B220" s="21" t="s">
        <v>461</v>
      </c>
      <c r="C220" s="22">
        <v>45131.0</v>
      </c>
      <c r="D220" s="22" t="str">
        <f t="shared" si="1"/>
        <v>07.2023</v>
      </c>
      <c r="E220" s="22">
        <v>45143.0</v>
      </c>
      <c r="F220" s="21" t="s">
        <v>29</v>
      </c>
      <c r="G220" s="23">
        <v>1.7</v>
      </c>
      <c r="H220" s="24">
        <v>14.0</v>
      </c>
      <c r="I220" s="24">
        <v>0.0</v>
      </c>
      <c r="J220" s="24">
        <v>29.0</v>
      </c>
      <c r="K220" s="21" t="s">
        <v>32</v>
      </c>
      <c r="L220" s="21" t="s">
        <v>47</v>
      </c>
      <c r="M220" s="24">
        <v>1.0</v>
      </c>
      <c r="X220" s="24">
        <f>IFERROR(__xludf.DUMMYFUNCTION("""COMPUTED_VALUE"""),56.0)</f>
        <v>56</v>
      </c>
      <c r="Y220" s="21"/>
      <c r="Z220" s="24"/>
    </row>
    <row r="221">
      <c r="A221" s="21" t="s">
        <v>462</v>
      </c>
      <c r="B221" s="21" t="s">
        <v>463</v>
      </c>
      <c r="C221" s="22">
        <v>45214.0</v>
      </c>
      <c r="D221" s="22" t="str">
        <f t="shared" si="1"/>
        <v>10.2023</v>
      </c>
      <c r="E221" s="22">
        <v>45226.0</v>
      </c>
      <c r="F221" s="21" t="s">
        <v>29</v>
      </c>
      <c r="G221" s="23">
        <v>4.1</v>
      </c>
      <c r="H221" s="24">
        <v>29.0</v>
      </c>
      <c r="I221" s="24">
        <v>1.0</v>
      </c>
      <c r="J221" s="24">
        <v>14.0</v>
      </c>
      <c r="K221" s="21" t="s">
        <v>15</v>
      </c>
      <c r="L221" s="21" t="s">
        <v>26</v>
      </c>
      <c r="M221" s="24">
        <v>1.0</v>
      </c>
      <c r="X221" s="24">
        <f>IFERROR(__xludf.DUMMYFUNCTION("""COMPUTED_VALUE"""),39.0)</f>
        <v>39</v>
      </c>
      <c r="Y221" s="21"/>
      <c r="Z221" s="24"/>
    </row>
    <row r="222">
      <c r="A222" s="21" t="s">
        <v>464</v>
      </c>
      <c r="B222" s="21" t="s">
        <v>465</v>
      </c>
      <c r="C222" s="22">
        <v>45164.0</v>
      </c>
      <c r="D222" s="22" t="str">
        <f t="shared" si="1"/>
        <v>08.2023</v>
      </c>
      <c r="E222" s="22">
        <v>45176.0</v>
      </c>
      <c r="F222" s="21" t="s">
        <v>14</v>
      </c>
      <c r="G222" s="23">
        <v>2.6</v>
      </c>
      <c r="H222" s="24">
        <v>34.0</v>
      </c>
      <c r="I222" s="24">
        <v>0.0</v>
      </c>
      <c r="J222" s="24">
        <v>39.0</v>
      </c>
      <c r="K222" s="21" t="s">
        <v>32</v>
      </c>
      <c r="L222" s="21" t="s">
        <v>26</v>
      </c>
      <c r="M222" s="24">
        <v>0.0</v>
      </c>
      <c r="X222" s="24">
        <f>IFERROR(__xludf.DUMMYFUNCTION("""COMPUTED_VALUE"""),27.0)</f>
        <v>27</v>
      </c>
      <c r="Y222" s="21"/>
      <c r="Z222" s="24"/>
    </row>
    <row r="223">
      <c r="A223" s="21" t="s">
        <v>466</v>
      </c>
      <c r="B223" s="21" t="s">
        <v>467</v>
      </c>
      <c r="C223" s="22">
        <v>45170.0</v>
      </c>
      <c r="D223" s="22" t="str">
        <f t="shared" si="1"/>
        <v>09.2023</v>
      </c>
      <c r="E223" s="22">
        <v>45182.0</v>
      </c>
      <c r="F223" s="21" t="s">
        <v>22</v>
      </c>
      <c r="G223" s="23">
        <v>4.8</v>
      </c>
      <c r="H223" s="24">
        <v>60.0</v>
      </c>
      <c r="I223" s="24">
        <v>1.0</v>
      </c>
      <c r="J223" s="24">
        <v>24.0</v>
      </c>
      <c r="K223" s="21" t="s">
        <v>32</v>
      </c>
      <c r="L223" s="21" t="s">
        <v>26</v>
      </c>
      <c r="M223" s="24">
        <v>1.0</v>
      </c>
      <c r="X223" s="24">
        <f>IFERROR(__xludf.DUMMYFUNCTION("""COMPUTED_VALUE"""),31.0)</f>
        <v>31</v>
      </c>
      <c r="Y223" s="21"/>
      <c r="Z223" s="24"/>
    </row>
    <row r="224">
      <c r="A224" s="21" t="s">
        <v>468</v>
      </c>
      <c r="B224" s="21" t="s">
        <v>469</v>
      </c>
      <c r="C224" s="22">
        <v>45011.0</v>
      </c>
      <c r="D224" s="22" t="str">
        <f t="shared" si="1"/>
        <v>03.2023</v>
      </c>
      <c r="E224" s="22">
        <v>45023.0</v>
      </c>
      <c r="F224" s="21" t="s">
        <v>38</v>
      </c>
      <c r="G224" s="23">
        <v>1.3</v>
      </c>
      <c r="H224" s="24">
        <v>100.0</v>
      </c>
      <c r="I224" s="24">
        <v>1.0</v>
      </c>
      <c r="J224" s="24">
        <v>17.0</v>
      </c>
      <c r="K224" s="21" t="s">
        <v>32</v>
      </c>
      <c r="L224" s="21" t="s">
        <v>26</v>
      </c>
      <c r="M224" s="24">
        <v>1.0</v>
      </c>
      <c r="X224" s="24">
        <f>IFERROR(__xludf.DUMMYFUNCTION("""COMPUTED_VALUE"""),42.0)</f>
        <v>42</v>
      </c>
      <c r="Y224" s="21"/>
      <c r="Z224" s="24"/>
    </row>
    <row r="225">
      <c r="A225" s="21" t="s">
        <v>470</v>
      </c>
      <c r="B225" s="21" t="s">
        <v>471</v>
      </c>
      <c r="C225" s="22">
        <v>45106.0</v>
      </c>
      <c r="D225" s="22" t="str">
        <f t="shared" si="1"/>
        <v>06.2023</v>
      </c>
      <c r="E225" s="22">
        <v>45118.0</v>
      </c>
      <c r="F225" s="21" t="s">
        <v>14</v>
      </c>
      <c r="G225" s="23">
        <v>1.9</v>
      </c>
      <c r="H225" s="24">
        <v>84.0</v>
      </c>
      <c r="I225" s="24">
        <v>0.0</v>
      </c>
      <c r="J225" s="24">
        <v>25.0</v>
      </c>
      <c r="K225" s="21" t="s">
        <v>35</v>
      </c>
      <c r="L225" s="21" t="s">
        <v>26</v>
      </c>
      <c r="M225" s="24">
        <v>1.0</v>
      </c>
      <c r="X225" s="24">
        <f>IFERROR(__xludf.DUMMYFUNCTION("""COMPUTED_VALUE"""),25.0)</f>
        <v>25</v>
      </c>
      <c r="Y225" s="21"/>
      <c r="Z225" s="24"/>
    </row>
    <row r="226">
      <c r="A226" s="21" t="s">
        <v>472</v>
      </c>
      <c r="B226" s="21" t="s">
        <v>473</v>
      </c>
      <c r="C226" s="22">
        <v>45000.0</v>
      </c>
      <c r="D226" s="22" t="str">
        <f t="shared" si="1"/>
        <v>03.2023</v>
      </c>
      <c r="E226" s="22">
        <v>45012.0</v>
      </c>
      <c r="F226" s="21" t="s">
        <v>38</v>
      </c>
      <c r="G226" s="23">
        <v>0.4</v>
      </c>
      <c r="H226" s="24">
        <v>3.0</v>
      </c>
      <c r="I226" s="24">
        <v>0.0</v>
      </c>
      <c r="J226" s="24">
        <v>27.0</v>
      </c>
      <c r="K226" s="21" t="s">
        <v>32</v>
      </c>
      <c r="L226" s="21" t="s">
        <v>26</v>
      </c>
      <c r="M226" s="24">
        <v>1.0</v>
      </c>
      <c r="X226" s="24">
        <f>IFERROR(__xludf.DUMMYFUNCTION("""COMPUTED_VALUE"""),18.0)</f>
        <v>18</v>
      </c>
      <c r="Y226" s="21"/>
      <c r="Z226" s="24"/>
    </row>
    <row r="227">
      <c r="A227" s="21" t="s">
        <v>474</v>
      </c>
      <c r="B227" s="21" t="s">
        <v>475</v>
      </c>
      <c r="C227" s="22">
        <v>45068.0</v>
      </c>
      <c r="D227" s="22" t="str">
        <f t="shared" si="1"/>
        <v>05.2023</v>
      </c>
      <c r="E227" s="22">
        <v>45080.0</v>
      </c>
      <c r="F227" s="21" t="s">
        <v>22</v>
      </c>
      <c r="G227" s="23">
        <v>3.3</v>
      </c>
      <c r="H227" s="24">
        <v>58.0</v>
      </c>
      <c r="I227" s="24">
        <v>1.0</v>
      </c>
      <c r="J227" s="24">
        <v>14.0</v>
      </c>
      <c r="K227" s="21" t="s">
        <v>15</v>
      </c>
      <c r="L227" s="21" t="s">
        <v>47</v>
      </c>
      <c r="M227" s="24">
        <v>0.0</v>
      </c>
      <c r="X227" s="24">
        <f>IFERROR(__xludf.DUMMYFUNCTION("""COMPUTED_VALUE"""),23.0)</f>
        <v>23</v>
      </c>
      <c r="Y227" s="21"/>
      <c r="Z227" s="24"/>
    </row>
    <row r="228">
      <c r="A228" s="21" t="s">
        <v>476</v>
      </c>
      <c r="B228" s="21" t="s">
        <v>477</v>
      </c>
      <c r="C228" s="22">
        <v>45243.0</v>
      </c>
      <c r="D228" s="22" t="str">
        <f t="shared" si="1"/>
        <v>11.2023</v>
      </c>
      <c r="E228" s="22">
        <v>45255.0</v>
      </c>
      <c r="F228" s="21" t="s">
        <v>14</v>
      </c>
      <c r="G228" s="23">
        <v>4.2</v>
      </c>
      <c r="H228" s="24">
        <v>41.0</v>
      </c>
      <c r="I228" s="24">
        <v>0.0</v>
      </c>
      <c r="J228" s="24">
        <v>17.0</v>
      </c>
      <c r="K228" s="21" t="s">
        <v>23</v>
      </c>
      <c r="L228" s="21" t="s">
        <v>26</v>
      </c>
      <c r="M228" s="24">
        <v>1.0</v>
      </c>
      <c r="X228" s="24">
        <f>IFERROR(__xludf.DUMMYFUNCTION("""COMPUTED_VALUE"""),49.0)</f>
        <v>49</v>
      </c>
      <c r="Y228" s="21"/>
      <c r="Z228" s="24"/>
    </row>
    <row r="229">
      <c r="A229" s="21" t="s">
        <v>478</v>
      </c>
      <c r="B229" s="21" t="s">
        <v>479</v>
      </c>
      <c r="C229" s="22">
        <v>45031.0</v>
      </c>
      <c r="D229" s="22" t="str">
        <f t="shared" si="1"/>
        <v>04.2023</v>
      </c>
      <c r="E229" s="22">
        <v>45043.0</v>
      </c>
      <c r="F229" s="21" t="s">
        <v>29</v>
      </c>
      <c r="G229" s="23">
        <v>2.7</v>
      </c>
      <c r="H229" s="24">
        <v>27.0</v>
      </c>
      <c r="I229" s="24">
        <v>0.0</v>
      </c>
      <c r="J229" s="24">
        <v>41.0</v>
      </c>
      <c r="K229" s="21" t="s">
        <v>19</v>
      </c>
      <c r="L229" s="21" t="s">
        <v>16</v>
      </c>
      <c r="M229" s="24">
        <v>1.0</v>
      </c>
      <c r="X229" s="24">
        <f>IFERROR(__xludf.DUMMYFUNCTION("""COMPUTED_VALUE"""),32.0)</f>
        <v>32</v>
      </c>
      <c r="Y229" s="21"/>
      <c r="Z229" s="24"/>
    </row>
    <row r="230">
      <c r="A230" s="21" t="s">
        <v>480</v>
      </c>
      <c r="B230" s="21" t="s">
        <v>481</v>
      </c>
      <c r="C230" s="22">
        <v>45264.0</v>
      </c>
      <c r="D230" s="22" t="str">
        <f t="shared" si="1"/>
        <v>12.2023</v>
      </c>
      <c r="E230" s="22">
        <v>45276.0</v>
      </c>
      <c r="F230" s="21" t="s">
        <v>29</v>
      </c>
      <c r="G230" s="23">
        <v>1.5</v>
      </c>
      <c r="H230" s="24">
        <v>28.0</v>
      </c>
      <c r="I230" s="24">
        <v>1.0</v>
      </c>
      <c r="J230" s="24">
        <v>28.0</v>
      </c>
      <c r="K230" s="21" t="s">
        <v>19</v>
      </c>
      <c r="L230" s="21" t="s">
        <v>26</v>
      </c>
      <c r="M230" s="24">
        <v>0.0</v>
      </c>
      <c r="X230" s="24">
        <f>IFERROR(__xludf.DUMMYFUNCTION("""COMPUTED_VALUE"""),38.0)</f>
        <v>38</v>
      </c>
      <c r="Y230" s="21"/>
      <c r="Z230" s="24"/>
    </row>
    <row r="231">
      <c r="A231" s="21" t="s">
        <v>482</v>
      </c>
      <c r="B231" s="21" t="s">
        <v>483</v>
      </c>
      <c r="C231" s="22">
        <v>45228.0</v>
      </c>
      <c r="D231" s="22" t="str">
        <f t="shared" si="1"/>
        <v>10.2023</v>
      </c>
      <c r="E231" s="22">
        <v>45240.0</v>
      </c>
      <c r="F231" s="21" t="s">
        <v>38</v>
      </c>
      <c r="G231" s="23">
        <v>3.2</v>
      </c>
      <c r="H231" s="24">
        <v>99.0</v>
      </c>
      <c r="I231" s="24">
        <v>0.0</v>
      </c>
      <c r="J231" s="24">
        <v>45.0</v>
      </c>
      <c r="K231" s="21" t="s">
        <v>23</v>
      </c>
      <c r="L231" s="21" t="s">
        <v>47</v>
      </c>
      <c r="M231" s="24">
        <v>1.0</v>
      </c>
      <c r="X231" s="24">
        <f>IFERROR(__xludf.DUMMYFUNCTION("""COMPUTED_VALUE"""),36.0)</f>
        <v>36</v>
      </c>
      <c r="Y231" s="21"/>
      <c r="Z231" s="24"/>
    </row>
    <row r="232">
      <c r="A232" s="21" t="s">
        <v>484</v>
      </c>
      <c r="B232" s="21" t="s">
        <v>485</v>
      </c>
      <c r="C232" s="22">
        <v>45080.0</v>
      </c>
      <c r="D232" s="22" t="str">
        <f t="shared" si="1"/>
        <v>06.2023</v>
      </c>
      <c r="E232" s="22">
        <v>45092.0</v>
      </c>
      <c r="F232" s="21" t="s">
        <v>29</v>
      </c>
      <c r="G232" s="23">
        <v>4.5</v>
      </c>
      <c r="H232" s="24">
        <v>57.0</v>
      </c>
      <c r="I232" s="24">
        <v>0.0</v>
      </c>
      <c r="J232" s="24">
        <v>19.0</v>
      </c>
      <c r="K232" s="21" t="s">
        <v>19</v>
      </c>
      <c r="L232" s="21" t="s">
        <v>16</v>
      </c>
      <c r="M232" s="24">
        <v>1.0</v>
      </c>
      <c r="X232" s="24">
        <f>IFERROR(__xludf.DUMMYFUNCTION("""COMPUTED_VALUE"""),53.0)</f>
        <v>53</v>
      </c>
      <c r="Y232" s="21"/>
      <c r="Z232" s="24"/>
    </row>
    <row r="233">
      <c r="A233" s="21" t="s">
        <v>486</v>
      </c>
      <c r="B233" s="21" t="s">
        <v>487</v>
      </c>
      <c r="C233" s="22">
        <v>45173.0</v>
      </c>
      <c r="D233" s="22" t="str">
        <f t="shared" si="1"/>
        <v>09.2023</v>
      </c>
      <c r="E233" s="22">
        <v>45185.0</v>
      </c>
      <c r="F233" s="21" t="s">
        <v>22</v>
      </c>
      <c r="G233" s="23">
        <v>0.8</v>
      </c>
      <c r="H233" s="24">
        <v>38.0</v>
      </c>
      <c r="I233" s="24">
        <v>0.0</v>
      </c>
      <c r="J233" s="24">
        <v>37.0</v>
      </c>
      <c r="K233" s="21" t="s">
        <v>35</v>
      </c>
      <c r="L233" s="21" t="s">
        <v>47</v>
      </c>
      <c r="M233" s="24">
        <v>1.0</v>
      </c>
      <c r="X233" s="24">
        <f>IFERROR(__xludf.DUMMYFUNCTION("""COMPUTED_VALUE"""),50.0)</f>
        <v>50</v>
      </c>
      <c r="Y233" s="21"/>
      <c r="Z233" s="24"/>
    </row>
    <row r="234">
      <c r="A234" s="21" t="s">
        <v>488</v>
      </c>
      <c r="B234" s="21" t="s">
        <v>489</v>
      </c>
      <c r="C234" s="22">
        <v>45133.0</v>
      </c>
      <c r="D234" s="22" t="str">
        <f t="shared" si="1"/>
        <v>07.2023</v>
      </c>
      <c r="E234" s="22">
        <v>45145.0</v>
      </c>
      <c r="F234" s="21" t="s">
        <v>38</v>
      </c>
      <c r="G234" s="23">
        <v>2.4</v>
      </c>
      <c r="H234" s="24">
        <v>4.0</v>
      </c>
      <c r="I234" s="24">
        <v>1.0</v>
      </c>
      <c r="J234" s="24">
        <v>50.0</v>
      </c>
      <c r="K234" s="21" t="s">
        <v>23</v>
      </c>
      <c r="L234" s="21" t="s">
        <v>16</v>
      </c>
      <c r="M234" s="24">
        <v>1.0</v>
      </c>
      <c r="X234" s="24">
        <f>IFERROR(__xludf.DUMMYFUNCTION("""COMPUTED_VALUE"""),37.0)</f>
        <v>37</v>
      </c>
      <c r="Y234" s="21"/>
      <c r="Z234" s="24"/>
    </row>
    <row r="235">
      <c r="A235" s="21" t="s">
        <v>490</v>
      </c>
      <c r="B235" s="21" t="s">
        <v>491</v>
      </c>
      <c r="C235" s="22">
        <v>45171.0</v>
      </c>
      <c r="D235" s="22" t="str">
        <f t="shared" si="1"/>
        <v>09.2023</v>
      </c>
      <c r="E235" s="22">
        <v>45183.0</v>
      </c>
      <c r="F235" s="21" t="s">
        <v>29</v>
      </c>
      <c r="G235" s="23">
        <v>2.0</v>
      </c>
      <c r="H235" s="24">
        <v>48.0</v>
      </c>
      <c r="I235" s="24">
        <v>0.0</v>
      </c>
      <c r="J235" s="24">
        <v>55.0</v>
      </c>
      <c r="K235" s="21" t="s">
        <v>32</v>
      </c>
      <c r="L235" s="21" t="s">
        <v>47</v>
      </c>
      <c r="M235" s="24">
        <v>0.0</v>
      </c>
      <c r="X235" s="24">
        <f>IFERROR(__xludf.DUMMYFUNCTION("""COMPUTED_VALUE"""),20.0)</f>
        <v>20</v>
      </c>
      <c r="Y235" s="21"/>
      <c r="Z235" s="24"/>
    </row>
    <row r="236">
      <c r="A236" s="21" t="s">
        <v>492</v>
      </c>
      <c r="B236" s="21" t="s">
        <v>493</v>
      </c>
      <c r="C236" s="22">
        <v>45197.0</v>
      </c>
      <c r="D236" s="22" t="str">
        <f t="shared" si="1"/>
        <v>09.2023</v>
      </c>
      <c r="E236" s="22">
        <v>45209.0</v>
      </c>
      <c r="F236" s="21" t="s">
        <v>38</v>
      </c>
      <c r="G236" s="23">
        <v>0.7</v>
      </c>
      <c r="H236" s="24">
        <v>87.0</v>
      </c>
      <c r="I236" s="24">
        <v>1.0</v>
      </c>
      <c r="J236" s="24">
        <v>48.0</v>
      </c>
      <c r="K236" s="21" t="s">
        <v>32</v>
      </c>
      <c r="L236" s="21" t="s">
        <v>16</v>
      </c>
      <c r="M236" s="24">
        <v>0.0</v>
      </c>
      <c r="X236" s="24">
        <f>IFERROR(__xludf.DUMMYFUNCTION("""COMPUTED_VALUE"""),47.0)</f>
        <v>47</v>
      </c>
      <c r="Y236" s="21"/>
      <c r="Z236" s="24"/>
    </row>
    <row r="237">
      <c r="A237" s="21" t="s">
        <v>494</v>
      </c>
      <c r="B237" s="21" t="s">
        <v>495</v>
      </c>
      <c r="C237" s="22">
        <v>45142.0</v>
      </c>
      <c r="D237" s="22" t="str">
        <f t="shared" si="1"/>
        <v>08.2023</v>
      </c>
      <c r="E237" s="22">
        <v>45154.0</v>
      </c>
      <c r="F237" s="21" t="s">
        <v>22</v>
      </c>
      <c r="G237" s="23">
        <v>2.5</v>
      </c>
      <c r="H237" s="24">
        <v>67.0</v>
      </c>
      <c r="I237" s="24">
        <v>0.0</v>
      </c>
      <c r="J237" s="24">
        <v>31.0</v>
      </c>
      <c r="K237" s="21" t="s">
        <v>23</v>
      </c>
      <c r="L237" s="21" t="s">
        <v>16</v>
      </c>
      <c r="M237" s="24">
        <v>0.0</v>
      </c>
      <c r="X237" s="24">
        <f>IFERROR(__xludf.DUMMYFUNCTION("""COMPUTED_VALUE"""),54.0)</f>
        <v>54</v>
      </c>
      <c r="Y237" s="21"/>
      <c r="Z237" s="24"/>
    </row>
    <row r="238">
      <c r="A238" s="21" t="s">
        <v>496</v>
      </c>
      <c r="B238" s="21" t="s">
        <v>497</v>
      </c>
      <c r="C238" s="22">
        <v>45198.0</v>
      </c>
      <c r="D238" s="22" t="str">
        <f t="shared" si="1"/>
        <v>09.2023</v>
      </c>
      <c r="E238" s="22">
        <v>45210.0</v>
      </c>
      <c r="F238" s="21" t="s">
        <v>38</v>
      </c>
      <c r="G238" s="23">
        <v>2.1</v>
      </c>
      <c r="H238" s="24">
        <v>11.0</v>
      </c>
      <c r="I238" s="24">
        <v>1.0</v>
      </c>
      <c r="J238" s="24">
        <v>36.0</v>
      </c>
      <c r="K238" s="21" t="s">
        <v>15</v>
      </c>
      <c r="L238" s="21" t="s">
        <v>26</v>
      </c>
      <c r="M238" s="24">
        <v>1.0</v>
      </c>
      <c r="X238" s="24">
        <f>IFERROR(__xludf.DUMMYFUNCTION("""COMPUTED_VALUE"""),14.0)</f>
        <v>14</v>
      </c>
      <c r="Y238" s="21"/>
      <c r="Z238" s="24"/>
    </row>
    <row r="239">
      <c r="A239" s="21" t="s">
        <v>498</v>
      </c>
      <c r="B239" s="21" t="s">
        <v>499</v>
      </c>
      <c r="C239" s="22">
        <v>44932.0</v>
      </c>
      <c r="D239" s="22" t="str">
        <f t="shared" si="1"/>
        <v>01.2023</v>
      </c>
      <c r="E239" s="22">
        <v>44944.0</v>
      </c>
      <c r="F239" s="21" t="s">
        <v>38</v>
      </c>
      <c r="G239" s="23">
        <v>0.5</v>
      </c>
      <c r="H239" s="24">
        <v>77.0</v>
      </c>
      <c r="I239" s="24">
        <v>0.0</v>
      </c>
      <c r="J239" s="24">
        <v>35.0</v>
      </c>
      <c r="K239" s="21" t="s">
        <v>32</v>
      </c>
      <c r="L239" s="21" t="s">
        <v>26</v>
      </c>
      <c r="M239" s="24">
        <v>0.0</v>
      </c>
      <c r="X239" s="24">
        <f>IFERROR(__xludf.DUMMYFUNCTION("""COMPUTED_VALUE"""),15.0)</f>
        <v>15</v>
      </c>
      <c r="Y239" s="21"/>
      <c r="Z239" s="24"/>
    </row>
    <row r="240">
      <c r="A240" s="21" t="s">
        <v>500</v>
      </c>
      <c r="B240" s="21" t="s">
        <v>501</v>
      </c>
      <c r="C240" s="22">
        <v>45237.0</v>
      </c>
      <c r="D240" s="22" t="str">
        <f t="shared" si="1"/>
        <v>11.2023</v>
      </c>
      <c r="E240" s="22">
        <v>45249.0</v>
      </c>
      <c r="F240" s="21" t="s">
        <v>14</v>
      </c>
      <c r="G240" s="23">
        <v>2.9</v>
      </c>
      <c r="H240" s="24">
        <v>64.0</v>
      </c>
      <c r="I240" s="24">
        <v>1.0</v>
      </c>
      <c r="J240" s="24">
        <v>20.0</v>
      </c>
      <c r="K240" s="21" t="s">
        <v>35</v>
      </c>
      <c r="L240" s="21" t="s">
        <v>47</v>
      </c>
      <c r="M240" s="24">
        <v>1.0</v>
      </c>
      <c r="X240" s="24">
        <f>IFERROR(__xludf.DUMMYFUNCTION("""COMPUTED_VALUE"""),33.0)</f>
        <v>33</v>
      </c>
      <c r="Y240" s="21"/>
      <c r="Z240" s="24"/>
    </row>
    <row r="241">
      <c r="A241" s="21" t="s">
        <v>502</v>
      </c>
      <c r="B241" s="21" t="s">
        <v>503</v>
      </c>
      <c r="C241" s="22">
        <v>44927.0</v>
      </c>
      <c r="D241" s="22" t="str">
        <f t="shared" si="1"/>
        <v>01.2023</v>
      </c>
      <c r="E241" s="22">
        <v>44939.0</v>
      </c>
      <c r="F241" s="21" t="s">
        <v>22</v>
      </c>
      <c r="G241" s="23">
        <v>1.2</v>
      </c>
      <c r="H241" s="24">
        <v>33.0</v>
      </c>
      <c r="I241" s="24">
        <v>1.0</v>
      </c>
      <c r="J241" s="24">
        <v>27.0</v>
      </c>
      <c r="K241" s="21" t="s">
        <v>35</v>
      </c>
      <c r="L241" s="21" t="s">
        <v>47</v>
      </c>
      <c r="M241" s="24">
        <v>0.0</v>
      </c>
      <c r="X241" s="24">
        <f>IFERROR(__xludf.DUMMYFUNCTION("""COMPUTED_VALUE"""),16.0)</f>
        <v>16</v>
      </c>
      <c r="Y241" s="21"/>
      <c r="Z241" s="24"/>
    </row>
    <row r="242">
      <c r="A242" s="21" t="s">
        <v>504</v>
      </c>
      <c r="B242" s="21" t="s">
        <v>505</v>
      </c>
      <c r="C242" s="22">
        <v>45158.0</v>
      </c>
      <c r="D242" s="22" t="str">
        <f t="shared" si="1"/>
        <v>08.2023</v>
      </c>
      <c r="E242" s="22">
        <v>45170.0</v>
      </c>
      <c r="F242" s="21" t="s">
        <v>38</v>
      </c>
      <c r="G242" s="23">
        <v>0.1</v>
      </c>
      <c r="H242" s="24">
        <v>61.0</v>
      </c>
      <c r="I242" s="24">
        <v>1.0</v>
      </c>
      <c r="J242" s="24">
        <v>16.0</v>
      </c>
      <c r="K242" s="21" t="s">
        <v>35</v>
      </c>
      <c r="L242" s="21" t="s">
        <v>26</v>
      </c>
      <c r="M242" s="24">
        <v>1.0</v>
      </c>
      <c r="X242" s="24">
        <f>IFERROR(__xludf.DUMMYFUNCTION("""COMPUTED_VALUE"""),21.0)</f>
        <v>21</v>
      </c>
      <c r="Y242" s="21"/>
      <c r="Z242" s="24"/>
    </row>
    <row r="243">
      <c r="A243" s="21" t="s">
        <v>506</v>
      </c>
      <c r="B243" s="21" t="s">
        <v>507</v>
      </c>
      <c r="C243" s="22">
        <v>45126.0</v>
      </c>
      <c r="D243" s="22" t="str">
        <f t="shared" si="1"/>
        <v>07.2023</v>
      </c>
      <c r="E243" s="22">
        <v>45138.0</v>
      </c>
      <c r="F243" s="21" t="s">
        <v>22</v>
      </c>
      <c r="G243" s="23">
        <v>1.4</v>
      </c>
      <c r="H243" s="24">
        <v>97.0</v>
      </c>
      <c r="I243" s="24">
        <v>0.0</v>
      </c>
      <c r="J243" s="24">
        <v>32.0</v>
      </c>
      <c r="K243" s="21" t="s">
        <v>23</v>
      </c>
      <c r="L243" s="21" t="s">
        <v>26</v>
      </c>
      <c r="M243" s="24">
        <v>1.0</v>
      </c>
      <c r="X243" s="24">
        <f>IFERROR(__xludf.DUMMYFUNCTION("""COMPUTED_VALUE"""),41.0)</f>
        <v>41</v>
      </c>
      <c r="Y243" s="21"/>
      <c r="Z243" s="24"/>
    </row>
    <row r="244">
      <c r="A244" s="21" t="s">
        <v>508</v>
      </c>
      <c r="B244" s="21" t="s">
        <v>509</v>
      </c>
      <c r="C244" s="22">
        <v>45264.0</v>
      </c>
      <c r="D244" s="22" t="str">
        <f t="shared" si="1"/>
        <v>12.2023</v>
      </c>
      <c r="E244" s="22">
        <v>45276.0</v>
      </c>
      <c r="F244" s="21" t="s">
        <v>29</v>
      </c>
      <c r="G244" s="23">
        <v>3.5</v>
      </c>
      <c r="H244" s="24">
        <v>18.0</v>
      </c>
      <c r="I244" s="24">
        <v>0.0</v>
      </c>
      <c r="J244" s="24">
        <v>54.0</v>
      </c>
      <c r="K244" s="21" t="s">
        <v>19</v>
      </c>
      <c r="L244" s="21" t="s">
        <v>47</v>
      </c>
      <c r="M244" s="24">
        <v>1.0</v>
      </c>
      <c r="X244" s="24">
        <f>IFERROR(__xludf.DUMMYFUNCTION("""COMPUTED_VALUE"""),17.0)</f>
        <v>17</v>
      </c>
      <c r="Y244" s="21"/>
      <c r="Z244" s="24"/>
    </row>
    <row r="245">
      <c r="A245" s="21" t="s">
        <v>510</v>
      </c>
      <c r="B245" s="21" t="s">
        <v>511</v>
      </c>
      <c r="C245" s="22">
        <v>45215.0</v>
      </c>
      <c r="D245" s="22" t="str">
        <f t="shared" si="1"/>
        <v>10.2023</v>
      </c>
      <c r="E245" s="22">
        <v>45227.0</v>
      </c>
      <c r="F245" s="21" t="s">
        <v>22</v>
      </c>
      <c r="G245" s="23">
        <v>3.4</v>
      </c>
      <c r="H245" s="24">
        <v>79.0</v>
      </c>
      <c r="I245" s="24">
        <v>0.0</v>
      </c>
      <c r="J245" s="24">
        <v>29.0</v>
      </c>
      <c r="K245" s="21" t="s">
        <v>32</v>
      </c>
      <c r="L245" s="21" t="s">
        <v>47</v>
      </c>
      <c r="M245" s="24">
        <v>1.0</v>
      </c>
      <c r="X245" s="24">
        <f>IFERROR(__xludf.DUMMYFUNCTION("""COMPUTED_VALUE"""),26.0)</f>
        <v>26</v>
      </c>
      <c r="Y245" s="21"/>
      <c r="Z245" s="24"/>
    </row>
    <row r="246">
      <c r="A246" s="21" t="s">
        <v>512</v>
      </c>
      <c r="B246" s="21" t="s">
        <v>513</v>
      </c>
      <c r="C246" s="22">
        <v>44985.0</v>
      </c>
      <c r="D246" s="22" t="str">
        <f t="shared" si="1"/>
        <v>02.2023</v>
      </c>
      <c r="E246" s="22">
        <v>44997.0</v>
      </c>
      <c r="F246" s="21" t="s">
        <v>22</v>
      </c>
      <c r="G246" s="23">
        <v>3.0</v>
      </c>
      <c r="H246" s="24">
        <v>2.0</v>
      </c>
      <c r="I246" s="24">
        <v>1.0</v>
      </c>
      <c r="J246" s="24">
        <v>23.0</v>
      </c>
      <c r="K246" s="21" t="s">
        <v>15</v>
      </c>
      <c r="L246" s="21" t="s">
        <v>26</v>
      </c>
      <c r="M246" s="24">
        <v>1.0</v>
      </c>
      <c r="X246" s="24">
        <f>IFERROR(__xludf.DUMMYFUNCTION("""COMPUTED_VALUE"""),56.0)</f>
        <v>56</v>
      </c>
      <c r="Y246" s="21"/>
      <c r="Z246" s="24"/>
    </row>
    <row r="247">
      <c r="A247" s="21" t="s">
        <v>514</v>
      </c>
      <c r="B247" s="21" t="s">
        <v>515</v>
      </c>
      <c r="C247" s="22">
        <v>44956.0</v>
      </c>
      <c r="D247" s="22" t="str">
        <f t="shared" si="1"/>
        <v>01.2023</v>
      </c>
      <c r="E247" s="22">
        <v>44968.0</v>
      </c>
      <c r="F247" s="21" t="s">
        <v>38</v>
      </c>
      <c r="G247" s="23">
        <v>3.1</v>
      </c>
      <c r="H247" s="24">
        <v>90.0</v>
      </c>
      <c r="I247" s="24">
        <v>1.0</v>
      </c>
      <c r="J247" s="24">
        <v>38.0</v>
      </c>
      <c r="K247" s="21" t="s">
        <v>32</v>
      </c>
      <c r="L247" s="21" t="s">
        <v>16</v>
      </c>
      <c r="M247" s="24">
        <v>0.0</v>
      </c>
      <c r="X247" s="24">
        <f>IFERROR(__xludf.DUMMYFUNCTION("""COMPUTED_VALUE"""),19.0)</f>
        <v>19</v>
      </c>
      <c r="Y247" s="21"/>
      <c r="Z247" s="24"/>
    </row>
    <row r="248">
      <c r="A248" s="21" t="s">
        <v>516</v>
      </c>
      <c r="B248" s="21" t="s">
        <v>517</v>
      </c>
      <c r="C248" s="22">
        <v>45130.0</v>
      </c>
      <c r="D248" s="22" t="str">
        <f t="shared" si="1"/>
        <v>07.2023</v>
      </c>
      <c r="E248" s="22">
        <v>45142.0</v>
      </c>
      <c r="F248" s="21" t="s">
        <v>22</v>
      </c>
      <c r="G248" s="23">
        <v>0.9</v>
      </c>
      <c r="H248" s="24">
        <v>5.0</v>
      </c>
      <c r="I248" s="24">
        <v>1.0</v>
      </c>
      <c r="J248" s="24">
        <v>49.0</v>
      </c>
      <c r="K248" s="21" t="s">
        <v>23</v>
      </c>
      <c r="L248" s="21" t="s">
        <v>16</v>
      </c>
      <c r="M248" s="24">
        <v>1.0</v>
      </c>
      <c r="X248" s="24">
        <f>IFERROR(__xludf.DUMMYFUNCTION("""COMPUTED_VALUE"""),29.0)</f>
        <v>29</v>
      </c>
      <c r="Y248" s="21"/>
      <c r="Z248" s="24"/>
    </row>
    <row r="249">
      <c r="A249" s="21" t="s">
        <v>518</v>
      </c>
      <c r="B249" s="21" t="s">
        <v>519</v>
      </c>
      <c r="C249" s="22">
        <v>45201.0</v>
      </c>
      <c r="D249" s="22" t="str">
        <f t="shared" si="1"/>
        <v>10.2023</v>
      </c>
      <c r="E249" s="22">
        <v>45213.0</v>
      </c>
      <c r="F249" s="21" t="s">
        <v>38</v>
      </c>
      <c r="G249" s="23">
        <v>1.6</v>
      </c>
      <c r="H249" s="24">
        <v>88.0</v>
      </c>
      <c r="I249" s="24">
        <v>0.0</v>
      </c>
      <c r="J249" s="24">
        <v>15.0</v>
      </c>
      <c r="K249" s="21" t="s">
        <v>15</v>
      </c>
      <c r="L249" s="21" t="s">
        <v>16</v>
      </c>
      <c r="M249" s="24">
        <v>1.0</v>
      </c>
      <c r="X249" s="24">
        <f>IFERROR(__xludf.DUMMYFUNCTION("""COMPUTED_VALUE"""),44.0)</f>
        <v>44</v>
      </c>
      <c r="Y249" s="21"/>
      <c r="Z249" s="24"/>
    </row>
    <row r="250">
      <c r="A250" s="21" t="s">
        <v>520</v>
      </c>
      <c r="B250" s="21" t="s">
        <v>521</v>
      </c>
      <c r="C250" s="22">
        <v>45034.0</v>
      </c>
      <c r="D250" s="22" t="str">
        <f t="shared" si="1"/>
        <v>04.2023</v>
      </c>
      <c r="E250" s="22">
        <v>45046.0</v>
      </c>
      <c r="F250" s="21" t="s">
        <v>14</v>
      </c>
      <c r="G250" s="23">
        <v>3.8</v>
      </c>
      <c r="H250" s="24">
        <v>83.0</v>
      </c>
      <c r="I250" s="24">
        <v>1.0</v>
      </c>
      <c r="J250" s="24">
        <v>25.0</v>
      </c>
      <c r="K250" s="21" t="s">
        <v>35</v>
      </c>
      <c r="L250" s="21" t="s">
        <v>26</v>
      </c>
      <c r="M250" s="24">
        <v>1.0</v>
      </c>
      <c r="X250" s="24">
        <f>IFERROR(__xludf.DUMMYFUNCTION("""COMPUTED_VALUE"""),51.0)</f>
        <v>51</v>
      </c>
      <c r="Y250" s="21"/>
      <c r="Z250" s="24"/>
    </row>
    <row r="251">
      <c r="A251" s="21" t="s">
        <v>522</v>
      </c>
      <c r="B251" s="21" t="s">
        <v>523</v>
      </c>
      <c r="C251" s="22">
        <v>45029.0</v>
      </c>
      <c r="D251" s="22" t="str">
        <f t="shared" si="1"/>
        <v>04.2023</v>
      </c>
      <c r="E251" s="22">
        <v>45041.0</v>
      </c>
      <c r="F251" s="21" t="s">
        <v>29</v>
      </c>
      <c r="G251" s="23">
        <v>3.7</v>
      </c>
      <c r="H251" s="24">
        <v>71.0</v>
      </c>
      <c r="I251" s="24">
        <v>1.0</v>
      </c>
      <c r="J251" s="24">
        <v>34.0</v>
      </c>
      <c r="K251" s="21" t="s">
        <v>35</v>
      </c>
      <c r="L251" s="21" t="s">
        <v>16</v>
      </c>
      <c r="M251" s="24">
        <v>1.0</v>
      </c>
      <c r="X251" s="24">
        <f>IFERROR(__xludf.DUMMYFUNCTION("""COMPUTED_VALUE"""),44.0)</f>
        <v>44</v>
      </c>
      <c r="Y251" s="21"/>
      <c r="Z251" s="24"/>
    </row>
    <row r="252">
      <c r="A252" s="21" t="s">
        <v>524</v>
      </c>
      <c r="B252" s="21" t="s">
        <v>525</v>
      </c>
      <c r="C252" s="22">
        <v>45254.0</v>
      </c>
      <c r="D252" s="22" t="str">
        <f t="shared" si="1"/>
        <v>11.2023</v>
      </c>
      <c r="E252" s="22">
        <v>45266.0</v>
      </c>
      <c r="F252" s="21" t="s">
        <v>22</v>
      </c>
      <c r="G252" s="23">
        <v>2.2</v>
      </c>
      <c r="H252" s="24">
        <v>56.0</v>
      </c>
      <c r="I252" s="24">
        <v>0.0</v>
      </c>
      <c r="J252" s="24">
        <v>12.0</v>
      </c>
      <c r="K252" s="21" t="s">
        <v>32</v>
      </c>
      <c r="L252" s="21" t="s">
        <v>16</v>
      </c>
      <c r="M252" s="24">
        <v>0.0</v>
      </c>
      <c r="X252" s="24">
        <f>IFERROR(__xludf.DUMMYFUNCTION("""COMPUTED_VALUE"""),46.0)</f>
        <v>46</v>
      </c>
      <c r="Y252" s="21"/>
      <c r="Z252" s="24"/>
    </row>
    <row r="253">
      <c r="A253" s="21" t="s">
        <v>526</v>
      </c>
      <c r="B253" s="21" t="s">
        <v>527</v>
      </c>
      <c r="C253" s="22">
        <v>45171.0</v>
      </c>
      <c r="D253" s="22" t="str">
        <f t="shared" si="1"/>
        <v>09.2023</v>
      </c>
      <c r="E253" s="22">
        <v>45183.0</v>
      </c>
      <c r="F253" s="21" t="s">
        <v>29</v>
      </c>
      <c r="G253" s="23">
        <v>1.8</v>
      </c>
      <c r="H253" s="24">
        <v>25.0</v>
      </c>
      <c r="I253" s="24">
        <v>1.0</v>
      </c>
      <c r="J253" s="24">
        <v>24.0</v>
      </c>
      <c r="K253" s="21" t="s">
        <v>15</v>
      </c>
      <c r="L253" s="21" t="s">
        <v>16</v>
      </c>
      <c r="M253" s="24">
        <v>1.0</v>
      </c>
      <c r="X253" s="24">
        <f>IFERROR(__xludf.DUMMYFUNCTION("""COMPUTED_VALUE"""),18.0)</f>
        <v>18</v>
      </c>
      <c r="Y253" s="21"/>
      <c r="Z253" s="24"/>
    </row>
    <row r="254">
      <c r="A254" s="21" t="s">
        <v>528</v>
      </c>
      <c r="B254" s="21" t="s">
        <v>529</v>
      </c>
      <c r="C254" s="22">
        <v>45117.0</v>
      </c>
      <c r="D254" s="22" t="str">
        <f t="shared" si="1"/>
        <v>07.2023</v>
      </c>
      <c r="E254" s="22">
        <v>45129.0</v>
      </c>
      <c r="F254" s="21" t="s">
        <v>14</v>
      </c>
      <c r="G254" s="23">
        <v>0.0</v>
      </c>
      <c r="H254" s="24">
        <v>40.0</v>
      </c>
      <c r="I254" s="24">
        <v>1.0</v>
      </c>
      <c r="J254" s="24">
        <v>47.0</v>
      </c>
      <c r="K254" s="21" t="s">
        <v>32</v>
      </c>
      <c r="L254" s="21" t="s">
        <v>16</v>
      </c>
      <c r="M254" s="24">
        <v>1.0</v>
      </c>
      <c r="X254" s="24">
        <f>IFERROR(__xludf.DUMMYFUNCTION("""COMPUTED_VALUE"""),43.0)</f>
        <v>43</v>
      </c>
      <c r="Y254" s="21"/>
      <c r="Z254" s="24"/>
    </row>
    <row r="255">
      <c r="A255" s="21" t="s">
        <v>530</v>
      </c>
      <c r="B255" s="21" t="s">
        <v>531</v>
      </c>
      <c r="C255" s="22">
        <v>44946.0</v>
      </c>
      <c r="D255" s="22" t="str">
        <f t="shared" si="1"/>
        <v>01.2023</v>
      </c>
      <c r="E255" s="22">
        <v>44958.0</v>
      </c>
      <c r="F255" s="21" t="s">
        <v>14</v>
      </c>
      <c r="G255" s="23">
        <v>4.6</v>
      </c>
      <c r="H255" s="24">
        <v>39.0</v>
      </c>
      <c r="I255" s="24">
        <v>0.0</v>
      </c>
      <c r="J255" s="24">
        <v>21.0</v>
      </c>
      <c r="K255" s="21" t="s">
        <v>23</v>
      </c>
      <c r="L255" s="21" t="s">
        <v>26</v>
      </c>
      <c r="M255" s="24">
        <v>1.0</v>
      </c>
      <c r="X255" s="24">
        <f>IFERROR(__xludf.DUMMYFUNCTION("""COMPUTED_VALUE"""),40.0)</f>
        <v>40</v>
      </c>
      <c r="Y255" s="21"/>
      <c r="Z255" s="24"/>
    </row>
    <row r="256">
      <c r="A256" s="21" t="s">
        <v>532</v>
      </c>
      <c r="B256" s="21" t="s">
        <v>533</v>
      </c>
      <c r="C256" s="22">
        <v>45252.0</v>
      </c>
      <c r="D256" s="22" t="str">
        <f t="shared" si="1"/>
        <v>11.2023</v>
      </c>
      <c r="E256" s="22">
        <v>45264.0</v>
      </c>
      <c r="F256" s="21" t="s">
        <v>14</v>
      </c>
      <c r="G256" s="23">
        <v>4.3</v>
      </c>
      <c r="H256" s="24">
        <v>46.0</v>
      </c>
      <c r="I256" s="24">
        <v>1.0</v>
      </c>
      <c r="J256" s="24">
        <v>26.0</v>
      </c>
      <c r="K256" s="21" t="s">
        <v>15</v>
      </c>
      <c r="L256" s="21" t="s">
        <v>47</v>
      </c>
      <c r="M256" s="24">
        <v>1.0</v>
      </c>
      <c r="X256" s="24">
        <f>IFERROR(__xludf.DUMMYFUNCTION("""COMPUTED_VALUE"""),33.0)</f>
        <v>33</v>
      </c>
      <c r="Y256" s="21"/>
      <c r="Z256" s="24"/>
    </row>
    <row r="257">
      <c r="A257" s="21" t="s">
        <v>534</v>
      </c>
      <c r="B257" s="21" t="s">
        <v>535</v>
      </c>
      <c r="C257" s="22">
        <v>45104.0</v>
      </c>
      <c r="D257" s="22" t="str">
        <f t="shared" si="1"/>
        <v>06.2023</v>
      </c>
      <c r="E257" s="22">
        <v>45116.0</v>
      </c>
      <c r="F257" s="21" t="s">
        <v>14</v>
      </c>
      <c r="G257" s="23">
        <v>1.8</v>
      </c>
      <c r="H257" s="24">
        <v>51.0</v>
      </c>
      <c r="I257" s="24">
        <v>0.0</v>
      </c>
      <c r="J257" s="24">
        <v>13.0</v>
      </c>
      <c r="K257" s="21" t="s">
        <v>35</v>
      </c>
      <c r="L257" s="21" t="s">
        <v>16</v>
      </c>
      <c r="M257" s="24">
        <v>1.0</v>
      </c>
      <c r="X257" s="24">
        <f>IFERROR(__xludf.DUMMYFUNCTION("""COMPUTED_VALUE"""),31.0)</f>
        <v>31</v>
      </c>
      <c r="Y257" s="21"/>
      <c r="Z257" s="24"/>
    </row>
    <row r="258">
      <c r="A258" s="21" t="s">
        <v>536</v>
      </c>
      <c r="B258" s="21" t="s">
        <v>537</v>
      </c>
      <c r="C258" s="22">
        <v>45119.0</v>
      </c>
      <c r="D258" s="22" t="str">
        <f t="shared" si="1"/>
        <v>07.2023</v>
      </c>
      <c r="E258" s="22">
        <v>45131.0</v>
      </c>
      <c r="F258" s="21" t="s">
        <v>29</v>
      </c>
      <c r="G258" s="23">
        <v>0.9</v>
      </c>
      <c r="H258" s="24">
        <v>16.0</v>
      </c>
      <c r="I258" s="24">
        <v>0.0</v>
      </c>
      <c r="J258" s="24">
        <v>30.0</v>
      </c>
      <c r="K258" s="21" t="s">
        <v>32</v>
      </c>
      <c r="L258" s="21" t="s">
        <v>47</v>
      </c>
      <c r="M258" s="24">
        <v>1.0</v>
      </c>
      <c r="X258" s="24">
        <f>IFERROR(__xludf.DUMMYFUNCTION("""COMPUTED_VALUE"""),23.0)</f>
        <v>23</v>
      </c>
      <c r="Y258" s="21"/>
      <c r="Z258" s="24"/>
    </row>
    <row r="259">
      <c r="A259" s="21" t="s">
        <v>538</v>
      </c>
      <c r="B259" s="21" t="s">
        <v>539</v>
      </c>
      <c r="C259" s="22">
        <v>45233.0</v>
      </c>
      <c r="D259" s="22" t="str">
        <f t="shared" si="1"/>
        <v>11.2023</v>
      </c>
      <c r="E259" s="22">
        <v>45245.0</v>
      </c>
      <c r="F259" s="21" t="s">
        <v>22</v>
      </c>
      <c r="G259" s="23">
        <v>2.0</v>
      </c>
      <c r="H259" s="24">
        <v>98.0</v>
      </c>
      <c r="I259" s="24">
        <v>0.0</v>
      </c>
      <c r="J259" s="24">
        <v>33.0</v>
      </c>
      <c r="K259" s="21" t="s">
        <v>35</v>
      </c>
      <c r="L259" s="21" t="s">
        <v>47</v>
      </c>
      <c r="M259" s="24">
        <v>0.0</v>
      </c>
      <c r="X259" s="24">
        <f>IFERROR(__xludf.DUMMYFUNCTION("""COMPUTED_VALUE"""),51.0)</f>
        <v>51</v>
      </c>
      <c r="Y259" s="21"/>
      <c r="Z259" s="24"/>
    </row>
    <row r="260">
      <c r="A260" s="21" t="s">
        <v>540</v>
      </c>
      <c r="B260" s="21" t="s">
        <v>541</v>
      </c>
      <c r="C260" s="22">
        <v>45108.0</v>
      </c>
      <c r="D260" s="22" t="str">
        <f t="shared" si="1"/>
        <v>07.2023</v>
      </c>
      <c r="E260" s="22">
        <v>45120.0</v>
      </c>
      <c r="F260" s="21" t="s">
        <v>14</v>
      </c>
      <c r="G260" s="23">
        <v>3.1</v>
      </c>
      <c r="H260" s="24">
        <v>52.0</v>
      </c>
      <c r="I260" s="24">
        <v>0.0</v>
      </c>
      <c r="J260" s="24">
        <v>56.0</v>
      </c>
      <c r="K260" s="21" t="s">
        <v>15</v>
      </c>
      <c r="L260" s="21" t="s">
        <v>26</v>
      </c>
      <c r="M260" s="24">
        <v>1.0</v>
      </c>
      <c r="X260" s="24">
        <f>IFERROR(__xludf.DUMMYFUNCTION("""COMPUTED_VALUE"""),14.0)</f>
        <v>14</v>
      </c>
      <c r="Y260" s="21"/>
      <c r="Z260" s="24"/>
    </row>
    <row r="261">
      <c r="A261" s="21" t="s">
        <v>542</v>
      </c>
      <c r="B261" s="21" t="s">
        <v>543</v>
      </c>
      <c r="C261" s="22">
        <v>44987.0</v>
      </c>
      <c r="D261" s="22" t="str">
        <f t="shared" si="1"/>
        <v>03.2023</v>
      </c>
      <c r="E261" s="22">
        <v>44999.0</v>
      </c>
      <c r="F261" s="21" t="s">
        <v>29</v>
      </c>
      <c r="G261" s="23">
        <v>2.8</v>
      </c>
      <c r="H261" s="24">
        <v>74.0</v>
      </c>
      <c r="I261" s="24">
        <v>0.0</v>
      </c>
      <c r="J261" s="24">
        <v>22.0</v>
      </c>
      <c r="K261" s="21" t="s">
        <v>19</v>
      </c>
      <c r="L261" s="21" t="s">
        <v>16</v>
      </c>
      <c r="M261" s="24">
        <v>1.0</v>
      </c>
      <c r="X261" s="24">
        <f>IFERROR(__xludf.DUMMYFUNCTION("""COMPUTED_VALUE"""),52.0)</f>
        <v>52</v>
      </c>
      <c r="Y261" s="21"/>
      <c r="Z261" s="24"/>
    </row>
    <row r="262">
      <c r="A262" s="21" t="s">
        <v>544</v>
      </c>
      <c r="B262" s="21" t="s">
        <v>545</v>
      </c>
      <c r="C262" s="22">
        <v>44985.0</v>
      </c>
      <c r="D262" s="22" t="str">
        <f t="shared" si="1"/>
        <v>02.2023</v>
      </c>
      <c r="E262" s="22">
        <v>44997.0</v>
      </c>
      <c r="F262" s="21" t="s">
        <v>38</v>
      </c>
      <c r="G262" s="23">
        <v>3.8</v>
      </c>
      <c r="H262" s="24">
        <v>12.0</v>
      </c>
      <c r="I262" s="24">
        <v>0.0</v>
      </c>
      <c r="J262" s="24">
        <v>42.0</v>
      </c>
      <c r="K262" s="21" t="s">
        <v>23</v>
      </c>
      <c r="L262" s="21" t="s">
        <v>47</v>
      </c>
      <c r="M262" s="24">
        <v>1.0</v>
      </c>
      <c r="X262" s="24">
        <f>IFERROR(__xludf.DUMMYFUNCTION("""COMPUTED_VALUE"""),47.0)</f>
        <v>47</v>
      </c>
      <c r="Y262" s="21"/>
      <c r="Z262" s="24"/>
    </row>
    <row r="263">
      <c r="A263" s="21" t="s">
        <v>546</v>
      </c>
      <c r="B263" s="21" t="s">
        <v>547</v>
      </c>
      <c r="C263" s="22">
        <v>45112.0</v>
      </c>
      <c r="D263" s="22" t="str">
        <f t="shared" si="1"/>
        <v>07.2023</v>
      </c>
      <c r="E263" s="22">
        <v>45124.0</v>
      </c>
      <c r="F263" s="21" t="s">
        <v>22</v>
      </c>
      <c r="G263" s="23">
        <v>4.3</v>
      </c>
      <c r="H263" s="24">
        <v>7.0</v>
      </c>
      <c r="I263" s="24">
        <v>1.0</v>
      </c>
      <c r="J263" s="24">
        <v>40.0</v>
      </c>
      <c r="K263" s="21" t="s">
        <v>15</v>
      </c>
      <c r="L263" s="21" t="s">
        <v>26</v>
      </c>
      <c r="M263" s="24">
        <v>1.0</v>
      </c>
      <c r="X263" s="24">
        <f>IFERROR(__xludf.DUMMYFUNCTION("""COMPUTED_VALUE"""),38.0)</f>
        <v>38</v>
      </c>
      <c r="Y263" s="21"/>
      <c r="Z263" s="24"/>
    </row>
    <row r="264">
      <c r="A264" s="21" t="s">
        <v>548</v>
      </c>
      <c r="B264" s="21" t="s">
        <v>549</v>
      </c>
      <c r="C264" s="22">
        <v>45073.0</v>
      </c>
      <c r="D264" s="22" t="str">
        <f t="shared" si="1"/>
        <v>05.2023</v>
      </c>
      <c r="E264" s="22">
        <v>45085.0</v>
      </c>
      <c r="F264" s="21" t="s">
        <v>38</v>
      </c>
      <c r="G264" s="23">
        <v>3.3</v>
      </c>
      <c r="H264" s="24">
        <v>96.0</v>
      </c>
      <c r="I264" s="24">
        <v>0.0</v>
      </c>
      <c r="J264" s="24">
        <v>39.0</v>
      </c>
      <c r="K264" s="21" t="s">
        <v>23</v>
      </c>
      <c r="L264" s="21" t="s">
        <v>47</v>
      </c>
      <c r="M264" s="24">
        <v>1.0</v>
      </c>
      <c r="X264" s="24">
        <f>IFERROR(__xludf.DUMMYFUNCTION("""COMPUTED_VALUE"""),27.0)</f>
        <v>27</v>
      </c>
      <c r="Y264" s="21"/>
      <c r="Z264" s="24"/>
    </row>
    <row r="265">
      <c r="A265" s="21" t="s">
        <v>550</v>
      </c>
      <c r="B265" s="21" t="s">
        <v>551</v>
      </c>
      <c r="C265" s="22">
        <v>45096.0</v>
      </c>
      <c r="D265" s="22" t="str">
        <f t="shared" si="1"/>
        <v>06.2023</v>
      </c>
      <c r="E265" s="22">
        <v>45108.0</v>
      </c>
      <c r="F265" s="21" t="s">
        <v>38</v>
      </c>
      <c r="G265" s="23">
        <v>4.5</v>
      </c>
      <c r="H265" s="24">
        <v>20.0</v>
      </c>
      <c r="I265" s="24">
        <v>1.0</v>
      </c>
      <c r="J265" s="24">
        <v>53.0</v>
      </c>
      <c r="K265" s="21" t="s">
        <v>35</v>
      </c>
      <c r="L265" s="21" t="s">
        <v>16</v>
      </c>
      <c r="M265" s="24">
        <v>1.0</v>
      </c>
      <c r="X265" s="24">
        <f>IFERROR(__xludf.DUMMYFUNCTION("""COMPUTED_VALUE"""),49.0)</f>
        <v>49</v>
      </c>
      <c r="Y265" s="21"/>
      <c r="Z265" s="24"/>
    </row>
    <row r="266">
      <c r="A266" s="21" t="s">
        <v>552</v>
      </c>
      <c r="B266" s="21" t="s">
        <v>553</v>
      </c>
      <c r="C266" s="22">
        <v>45189.0</v>
      </c>
      <c r="D266" s="22" t="str">
        <f t="shared" si="1"/>
        <v>09.2023</v>
      </c>
      <c r="E266" s="22">
        <v>45201.0</v>
      </c>
      <c r="F266" s="21" t="s">
        <v>14</v>
      </c>
      <c r="G266" s="23">
        <v>3.0</v>
      </c>
      <c r="H266" s="24">
        <v>92.0</v>
      </c>
      <c r="I266" s="24">
        <v>0.0</v>
      </c>
      <c r="J266" s="24">
        <v>18.0</v>
      </c>
      <c r="K266" s="21" t="s">
        <v>35</v>
      </c>
      <c r="L266" s="21" t="s">
        <v>16</v>
      </c>
      <c r="M266" s="24">
        <v>0.0</v>
      </c>
      <c r="X266" s="24">
        <f>IFERROR(__xludf.DUMMYFUNCTION("""COMPUTED_VALUE"""),20.0)</f>
        <v>20</v>
      </c>
      <c r="Y266" s="21"/>
      <c r="Z266" s="24"/>
    </row>
    <row r="267">
      <c r="A267" s="21" t="s">
        <v>554</v>
      </c>
      <c r="B267" s="21" t="s">
        <v>555</v>
      </c>
      <c r="C267" s="22">
        <v>45155.0</v>
      </c>
      <c r="D267" s="22" t="str">
        <f t="shared" si="1"/>
        <v>08.2023</v>
      </c>
      <c r="E267" s="22">
        <v>45167.0</v>
      </c>
      <c r="F267" s="21" t="s">
        <v>14</v>
      </c>
      <c r="G267" s="23">
        <v>1.9</v>
      </c>
      <c r="H267" s="24">
        <v>0.0</v>
      </c>
      <c r="I267" s="24">
        <v>0.0</v>
      </c>
      <c r="J267" s="24">
        <v>44.0</v>
      </c>
      <c r="K267" s="21" t="s">
        <v>15</v>
      </c>
      <c r="L267" s="21" t="s">
        <v>47</v>
      </c>
      <c r="M267" s="24">
        <v>0.0</v>
      </c>
      <c r="X267" s="24">
        <f>IFERROR(__xludf.DUMMYFUNCTION("""COMPUTED_VALUE"""),35.0)</f>
        <v>35</v>
      </c>
      <c r="Y267" s="21"/>
      <c r="Z267" s="24"/>
    </row>
    <row r="268">
      <c r="A268" s="21" t="s">
        <v>556</v>
      </c>
      <c r="B268" s="21" t="s">
        <v>557</v>
      </c>
      <c r="C268" s="22">
        <v>45098.0</v>
      </c>
      <c r="D268" s="22" t="str">
        <f t="shared" si="1"/>
        <v>06.2023</v>
      </c>
      <c r="E268" s="22">
        <v>45110.0</v>
      </c>
      <c r="F268" s="21" t="s">
        <v>22</v>
      </c>
      <c r="G268" s="23">
        <v>2.2</v>
      </c>
      <c r="H268" s="24">
        <v>73.0</v>
      </c>
      <c r="I268" s="24">
        <v>1.0</v>
      </c>
      <c r="J268" s="24">
        <v>43.0</v>
      </c>
      <c r="K268" s="21" t="s">
        <v>32</v>
      </c>
      <c r="L268" s="21" t="s">
        <v>26</v>
      </c>
      <c r="M268" s="24">
        <v>0.0</v>
      </c>
      <c r="X268" s="24">
        <f>IFERROR(__xludf.DUMMYFUNCTION("""COMPUTED_VALUE"""),56.0)</f>
        <v>56</v>
      </c>
      <c r="Y268" s="21"/>
      <c r="Z268" s="24"/>
    </row>
    <row r="269">
      <c r="A269" s="21" t="s">
        <v>558</v>
      </c>
      <c r="B269" s="21" t="s">
        <v>559</v>
      </c>
      <c r="C269" s="22">
        <v>45168.0</v>
      </c>
      <c r="D269" s="22" t="str">
        <f t="shared" si="1"/>
        <v>08.2023</v>
      </c>
      <c r="E269" s="22">
        <v>45180.0</v>
      </c>
      <c r="F269" s="21" t="s">
        <v>22</v>
      </c>
      <c r="G269" s="23">
        <v>1.6</v>
      </c>
      <c r="H269" s="24">
        <v>19.0</v>
      </c>
      <c r="I269" s="24">
        <v>1.0</v>
      </c>
      <c r="J269" s="24">
        <v>52.0</v>
      </c>
      <c r="K269" s="21" t="s">
        <v>19</v>
      </c>
      <c r="L269" s="21" t="s">
        <v>47</v>
      </c>
      <c r="M269" s="24">
        <v>1.0</v>
      </c>
      <c r="X269" s="24">
        <f>IFERROR(__xludf.DUMMYFUNCTION("""COMPUTED_VALUE"""),32.0)</f>
        <v>32</v>
      </c>
      <c r="Y269" s="21"/>
      <c r="Z269" s="24"/>
    </row>
    <row r="270">
      <c r="A270" s="21" t="s">
        <v>560</v>
      </c>
      <c r="B270" s="21" t="s">
        <v>561</v>
      </c>
      <c r="C270" s="22">
        <v>45258.0</v>
      </c>
      <c r="D270" s="22" t="str">
        <f t="shared" si="1"/>
        <v>11.2023</v>
      </c>
      <c r="E270" s="22">
        <v>45270.0</v>
      </c>
      <c r="F270" s="21" t="s">
        <v>38</v>
      </c>
      <c r="G270" s="23">
        <v>1.1</v>
      </c>
      <c r="H270" s="24">
        <v>68.0</v>
      </c>
      <c r="I270" s="24">
        <v>1.0</v>
      </c>
      <c r="J270" s="24">
        <v>46.0</v>
      </c>
      <c r="K270" s="21" t="s">
        <v>15</v>
      </c>
      <c r="L270" s="21" t="s">
        <v>16</v>
      </c>
      <c r="M270" s="24">
        <v>0.0</v>
      </c>
      <c r="X270" s="24">
        <f>IFERROR(__xludf.DUMMYFUNCTION("""COMPUTED_VALUE"""),22.0)</f>
        <v>22</v>
      </c>
      <c r="Y270" s="21"/>
      <c r="Z270" s="24"/>
    </row>
    <row r="271">
      <c r="A271" s="21" t="s">
        <v>562</v>
      </c>
      <c r="B271" s="21" t="s">
        <v>563</v>
      </c>
      <c r="C271" s="22">
        <v>45142.0</v>
      </c>
      <c r="D271" s="22" t="str">
        <f t="shared" si="1"/>
        <v>08.2023</v>
      </c>
      <c r="E271" s="22">
        <v>45154.0</v>
      </c>
      <c r="F271" s="21" t="s">
        <v>38</v>
      </c>
      <c r="G271" s="23">
        <v>0.7</v>
      </c>
      <c r="H271" s="24">
        <v>81.0</v>
      </c>
      <c r="I271" s="24">
        <v>1.0</v>
      </c>
      <c r="J271" s="24">
        <v>51.0</v>
      </c>
      <c r="K271" s="21" t="s">
        <v>19</v>
      </c>
      <c r="L271" s="21" t="s">
        <v>26</v>
      </c>
      <c r="M271" s="24">
        <v>0.0</v>
      </c>
      <c r="X271" s="24">
        <f>IFERROR(__xludf.DUMMYFUNCTION("""COMPUTED_VALUE"""),30.0)</f>
        <v>30</v>
      </c>
      <c r="Y271" s="21"/>
      <c r="Z271" s="24"/>
    </row>
    <row r="272">
      <c r="A272" s="21" t="s">
        <v>564</v>
      </c>
      <c r="B272" s="21" t="s">
        <v>565</v>
      </c>
      <c r="C272" s="22">
        <v>45050.0</v>
      </c>
      <c r="D272" s="22" t="str">
        <f t="shared" si="1"/>
        <v>05.2023</v>
      </c>
      <c r="E272" s="22">
        <v>45062.0</v>
      </c>
      <c r="F272" s="21" t="s">
        <v>14</v>
      </c>
      <c r="G272" s="23">
        <v>2.1</v>
      </c>
      <c r="H272" s="24">
        <v>45.0</v>
      </c>
      <c r="I272" s="24">
        <v>0.0</v>
      </c>
      <c r="J272" s="24">
        <v>27.0</v>
      </c>
      <c r="K272" s="21" t="s">
        <v>32</v>
      </c>
      <c r="L272" s="21" t="s">
        <v>26</v>
      </c>
      <c r="M272" s="24">
        <v>0.0</v>
      </c>
      <c r="X272" s="24">
        <f>IFERROR(__xludf.DUMMYFUNCTION("""COMPUTED_VALUE"""),41.0)</f>
        <v>41</v>
      </c>
      <c r="Y272" s="21"/>
      <c r="Z272" s="24"/>
    </row>
    <row r="273">
      <c r="A273" s="21" t="s">
        <v>566</v>
      </c>
      <c r="B273" s="21" t="s">
        <v>567</v>
      </c>
      <c r="C273" s="22">
        <v>45207.0</v>
      </c>
      <c r="D273" s="22" t="str">
        <f t="shared" si="1"/>
        <v>10.2023</v>
      </c>
      <c r="E273" s="22">
        <v>45219.0</v>
      </c>
      <c r="F273" s="21" t="s">
        <v>22</v>
      </c>
      <c r="G273" s="23">
        <v>5.0</v>
      </c>
      <c r="H273" s="24">
        <v>70.0</v>
      </c>
      <c r="I273" s="24">
        <v>0.0</v>
      </c>
      <c r="J273" s="24">
        <v>34.0</v>
      </c>
      <c r="K273" s="21" t="s">
        <v>32</v>
      </c>
      <c r="L273" s="21" t="s">
        <v>47</v>
      </c>
      <c r="M273" s="24">
        <v>0.0</v>
      </c>
      <c r="X273" s="24">
        <f>IFERROR(__xludf.DUMMYFUNCTION("""COMPUTED_VALUE"""),16.0)</f>
        <v>16</v>
      </c>
      <c r="Y273" s="21"/>
      <c r="Z273" s="24"/>
    </row>
    <row r="274">
      <c r="A274" s="21" t="s">
        <v>568</v>
      </c>
      <c r="B274" s="21" t="s">
        <v>569</v>
      </c>
      <c r="C274" s="22">
        <v>44977.0</v>
      </c>
      <c r="D274" s="22" t="str">
        <f t="shared" si="1"/>
        <v>02.2023</v>
      </c>
      <c r="E274" s="22">
        <v>44989.0</v>
      </c>
      <c r="F274" s="21" t="s">
        <v>14</v>
      </c>
      <c r="G274" s="23">
        <v>3.4</v>
      </c>
      <c r="H274" s="24">
        <v>93.0</v>
      </c>
      <c r="I274" s="24">
        <v>1.0</v>
      </c>
      <c r="J274" s="24">
        <v>35.0</v>
      </c>
      <c r="K274" s="21" t="s">
        <v>19</v>
      </c>
      <c r="L274" s="21" t="s">
        <v>16</v>
      </c>
      <c r="M274" s="24">
        <v>1.0</v>
      </c>
      <c r="X274" s="24">
        <f>IFERROR(__xludf.DUMMYFUNCTION("""COMPUTED_VALUE"""),24.0)</f>
        <v>24</v>
      </c>
      <c r="Y274" s="21"/>
      <c r="Z274" s="24"/>
    </row>
    <row r="275">
      <c r="A275" s="21" t="s">
        <v>570</v>
      </c>
      <c r="B275" s="21" t="s">
        <v>571</v>
      </c>
      <c r="C275" s="22">
        <v>45044.0</v>
      </c>
      <c r="D275" s="22" t="str">
        <f t="shared" si="1"/>
        <v>04.2023</v>
      </c>
      <c r="E275" s="22">
        <v>45056.0</v>
      </c>
      <c r="F275" s="21" t="s">
        <v>14</v>
      </c>
      <c r="G275" s="23">
        <v>2.3</v>
      </c>
      <c r="H275" s="24">
        <v>32.0</v>
      </c>
      <c r="I275" s="24">
        <v>1.0</v>
      </c>
      <c r="J275" s="24">
        <v>38.0</v>
      </c>
      <c r="K275" s="21" t="s">
        <v>35</v>
      </c>
      <c r="L275" s="21" t="s">
        <v>47</v>
      </c>
      <c r="M275" s="24">
        <v>0.0</v>
      </c>
      <c r="X275" s="24">
        <f>IFERROR(__xludf.DUMMYFUNCTION("""COMPUTED_VALUE"""),15.0)</f>
        <v>15</v>
      </c>
      <c r="Y275" s="21"/>
      <c r="Z275" s="24"/>
    </row>
    <row r="276">
      <c r="A276" s="21" t="s">
        <v>572</v>
      </c>
      <c r="B276" s="21" t="s">
        <v>573</v>
      </c>
      <c r="C276" s="22">
        <v>45010.0</v>
      </c>
      <c r="D276" s="22" t="str">
        <f t="shared" si="1"/>
        <v>03.2023</v>
      </c>
      <c r="E276" s="22">
        <v>45022.0</v>
      </c>
      <c r="F276" s="21" t="s">
        <v>22</v>
      </c>
      <c r="G276" s="23">
        <v>3.7</v>
      </c>
      <c r="H276" s="24">
        <v>9.0</v>
      </c>
      <c r="I276" s="24">
        <v>1.0</v>
      </c>
      <c r="J276" s="24">
        <v>53.0</v>
      </c>
      <c r="K276" s="21" t="s">
        <v>35</v>
      </c>
      <c r="L276" s="21" t="s">
        <v>47</v>
      </c>
      <c r="M276" s="24">
        <v>1.0</v>
      </c>
      <c r="X276" s="24">
        <f>IFERROR(__xludf.DUMMYFUNCTION("""COMPUTED_VALUE"""),55.0)</f>
        <v>55</v>
      </c>
      <c r="Y276" s="21"/>
      <c r="Z276" s="24"/>
    </row>
    <row r="277">
      <c r="A277" s="21" t="s">
        <v>574</v>
      </c>
      <c r="B277" s="21" t="s">
        <v>575</v>
      </c>
      <c r="C277" s="22">
        <v>45185.0</v>
      </c>
      <c r="D277" s="22" t="str">
        <f t="shared" si="1"/>
        <v>09.2023</v>
      </c>
      <c r="E277" s="22">
        <v>45197.0</v>
      </c>
      <c r="F277" s="21" t="s">
        <v>14</v>
      </c>
      <c r="G277" s="23">
        <v>1.3</v>
      </c>
      <c r="H277" s="24">
        <v>37.0</v>
      </c>
      <c r="I277" s="24">
        <v>0.0</v>
      </c>
      <c r="J277" s="24">
        <v>50.0</v>
      </c>
      <c r="K277" s="21" t="s">
        <v>35</v>
      </c>
      <c r="L277" s="21" t="s">
        <v>26</v>
      </c>
      <c r="M277" s="24">
        <v>1.0</v>
      </c>
      <c r="X277" s="24">
        <f>IFERROR(__xludf.DUMMYFUNCTION("""COMPUTED_VALUE"""),29.0)</f>
        <v>29</v>
      </c>
      <c r="Y277" s="21"/>
      <c r="Z277" s="24"/>
    </row>
    <row r="278">
      <c r="A278" s="21" t="s">
        <v>576</v>
      </c>
      <c r="B278" s="21" t="s">
        <v>577</v>
      </c>
      <c r="C278" s="22">
        <v>44955.0</v>
      </c>
      <c r="D278" s="22" t="str">
        <f t="shared" si="1"/>
        <v>01.2023</v>
      </c>
      <c r="E278" s="22">
        <v>44967.0</v>
      </c>
      <c r="F278" s="21" t="s">
        <v>14</v>
      </c>
      <c r="G278" s="23">
        <v>1.5</v>
      </c>
      <c r="H278" s="24">
        <v>95.0</v>
      </c>
      <c r="I278" s="24">
        <v>0.0</v>
      </c>
      <c r="J278" s="24">
        <v>15.0</v>
      </c>
      <c r="K278" s="21" t="s">
        <v>23</v>
      </c>
      <c r="L278" s="21" t="s">
        <v>16</v>
      </c>
      <c r="M278" s="24">
        <v>1.0</v>
      </c>
      <c r="X278" s="24">
        <f>IFERROR(__xludf.DUMMYFUNCTION("""COMPUTED_VALUE"""),26.0)</f>
        <v>26</v>
      </c>
      <c r="Y278" s="21"/>
      <c r="Z278" s="24"/>
    </row>
    <row r="279">
      <c r="A279" s="21" t="s">
        <v>578</v>
      </c>
      <c r="B279" s="21" t="s">
        <v>579</v>
      </c>
      <c r="C279" s="22">
        <v>44965.0</v>
      </c>
      <c r="D279" s="22" t="str">
        <f t="shared" si="1"/>
        <v>02.2023</v>
      </c>
      <c r="E279" s="22">
        <v>44977.0</v>
      </c>
      <c r="F279" s="21" t="s">
        <v>29</v>
      </c>
      <c r="G279" s="23">
        <v>3.9</v>
      </c>
      <c r="H279" s="24">
        <v>76.0</v>
      </c>
      <c r="I279" s="24">
        <v>0.0</v>
      </c>
      <c r="J279" s="24">
        <v>49.0</v>
      </c>
      <c r="K279" s="21" t="s">
        <v>15</v>
      </c>
      <c r="L279" s="21" t="s">
        <v>16</v>
      </c>
      <c r="M279" s="24">
        <v>1.0</v>
      </c>
      <c r="X279" s="24">
        <f>IFERROR(__xludf.DUMMYFUNCTION("""COMPUTED_VALUE"""),32.0)</f>
        <v>32</v>
      </c>
      <c r="Y279" s="21"/>
      <c r="Z279" s="24"/>
    </row>
    <row r="280">
      <c r="A280" s="21" t="s">
        <v>580</v>
      </c>
      <c r="B280" s="21" t="s">
        <v>581</v>
      </c>
      <c r="C280" s="22">
        <v>45175.0</v>
      </c>
      <c r="D280" s="22" t="str">
        <f t="shared" si="1"/>
        <v>09.2023</v>
      </c>
      <c r="E280" s="22">
        <v>45187.0</v>
      </c>
      <c r="F280" s="21" t="s">
        <v>22</v>
      </c>
      <c r="G280" s="23">
        <v>0.1</v>
      </c>
      <c r="H280" s="24">
        <v>42.0</v>
      </c>
      <c r="I280" s="24">
        <v>0.0</v>
      </c>
      <c r="J280" s="24">
        <v>46.0</v>
      </c>
      <c r="K280" s="21" t="s">
        <v>35</v>
      </c>
      <c r="L280" s="21" t="s">
        <v>16</v>
      </c>
      <c r="M280" s="24">
        <v>0.0</v>
      </c>
      <c r="X280" s="24">
        <f>IFERROR(__xludf.DUMMYFUNCTION("""COMPUTED_VALUE"""),39.0)</f>
        <v>39</v>
      </c>
      <c r="Y280" s="21"/>
      <c r="Z280" s="24"/>
    </row>
    <row r="281">
      <c r="A281" s="21" t="s">
        <v>582</v>
      </c>
      <c r="B281" s="21" t="s">
        <v>583</v>
      </c>
      <c r="C281" s="22">
        <v>45226.0</v>
      </c>
      <c r="D281" s="22" t="str">
        <f t="shared" si="1"/>
        <v>10.2023</v>
      </c>
      <c r="E281" s="22">
        <v>45238.0</v>
      </c>
      <c r="F281" s="21" t="s">
        <v>14</v>
      </c>
      <c r="G281" s="23">
        <v>2.6</v>
      </c>
      <c r="H281" s="24">
        <v>43.0</v>
      </c>
      <c r="I281" s="24">
        <v>1.0</v>
      </c>
      <c r="J281" s="24">
        <v>54.0</v>
      </c>
      <c r="K281" s="21" t="s">
        <v>23</v>
      </c>
      <c r="L281" s="21" t="s">
        <v>47</v>
      </c>
      <c r="M281" s="24">
        <v>0.0</v>
      </c>
      <c r="X281" s="24">
        <f>IFERROR(__xludf.DUMMYFUNCTION("""COMPUTED_VALUE"""),34.0)</f>
        <v>34</v>
      </c>
      <c r="Y281" s="21"/>
      <c r="Z281" s="24"/>
    </row>
    <row r="282">
      <c r="A282" s="21" t="s">
        <v>584</v>
      </c>
      <c r="B282" s="21" t="s">
        <v>585</v>
      </c>
      <c r="C282" s="22">
        <v>45280.0</v>
      </c>
      <c r="D282" s="22" t="str">
        <f t="shared" si="1"/>
        <v>12.2023</v>
      </c>
      <c r="E282" s="22">
        <v>45292.0</v>
      </c>
      <c r="F282" s="21" t="s">
        <v>29</v>
      </c>
      <c r="G282" s="23">
        <v>3.2</v>
      </c>
      <c r="H282" s="24">
        <v>85.0</v>
      </c>
      <c r="I282" s="24">
        <v>0.0</v>
      </c>
      <c r="J282" s="24">
        <v>48.0</v>
      </c>
      <c r="K282" s="21" t="s">
        <v>15</v>
      </c>
      <c r="L282" s="21" t="s">
        <v>16</v>
      </c>
      <c r="M282" s="24">
        <v>1.0</v>
      </c>
      <c r="X282" s="24">
        <f>IFERROR(__xludf.DUMMYFUNCTION("""COMPUTED_VALUE"""),30.0)</f>
        <v>30</v>
      </c>
      <c r="Y282" s="21"/>
      <c r="Z282" s="24"/>
    </row>
    <row r="283">
      <c r="A283" s="21" t="s">
        <v>586</v>
      </c>
      <c r="B283" s="21" t="s">
        <v>587</v>
      </c>
      <c r="C283" s="22">
        <v>44940.0</v>
      </c>
      <c r="D283" s="22" t="str">
        <f t="shared" si="1"/>
        <v>01.2023</v>
      </c>
      <c r="E283" s="22">
        <v>44952.0</v>
      </c>
      <c r="F283" s="21" t="s">
        <v>14</v>
      </c>
      <c r="G283" s="23">
        <v>0.0</v>
      </c>
      <c r="H283" s="24">
        <v>50.0</v>
      </c>
      <c r="I283" s="24">
        <v>1.0</v>
      </c>
      <c r="J283" s="24">
        <v>52.0</v>
      </c>
      <c r="K283" s="21" t="s">
        <v>19</v>
      </c>
      <c r="L283" s="21" t="s">
        <v>16</v>
      </c>
      <c r="M283" s="24">
        <v>0.0</v>
      </c>
      <c r="X283" s="24">
        <f>IFERROR(__xludf.DUMMYFUNCTION("""COMPUTED_VALUE"""),14.0)</f>
        <v>14</v>
      </c>
      <c r="Y283" s="21"/>
      <c r="Z283" s="24"/>
    </row>
    <row r="284">
      <c r="A284" s="21" t="s">
        <v>588</v>
      </c>
      <c r="B284" s="21" t="s">
        <v>589</v>
      </c>
      <c r="C284" s="22">
        <v>45228.0</v>
      </c>
      <c r="D284" s="22" t="str">
        <f t="shared" si="1"/>
        <v>10.2023</v>
      </c>
      <c r="E284" s="22">
        <v>45240.0</v>
      </c>
      <c r="F284" s="21" t="s">
        <v>14</v>
      </c>
      <c r="G284" s="23">
        <v>0.8</v>
      </c>
      <c r="H284" s="24">
        <v>23.0</v>
      </c>
      <c r="I284" s="24">
        <v>1.0</v>
      </c>
      <c r="J284" s="24">
        <v>43.0</v>
      </c>
      <c r="K284" s="21" t="s">
        <v>35</v>
      </c>
      <c r="L284" s="21" t="s">
        <v>26</v>
      </c>
      <c r="M284" s="24">
        <v>1.0</v>
      </c>
      <c r="X284" s="24">
        <f>IFERROR(__xludf.DUMMYFUNCTION("""COMPUTED_VALUE"""),27.0)</f>
        <v>27</v>
      </c>
      <c r="Y284" s="21"/>
      <c r="Z284" s="24"/>
    </row>
    <row r="285">
      <c r="A285" s="21" t="s">
        <v>590</v>
      </c>
      <c r="B285" s="21" t="s">
        <v>591</v>
      </c>
      <c r="C285" s="22">
        <v>44960.0</v>
      </c>
      <c r="D285" s="22" t="str">
        <f t="shared" si="1"/>
        <v>02.2023</v>
      </c>
      <c r="E285" s="22">
        <v>44972.0</v>
      </c>
      <c r="F285" s="21" t="s">
        <v>14</v>
      </c>
      <c r="G285" s="23">
        <v>4.0</v>
      </c>
      <c r="H285" s="24">
        <v>75.0</v>
      </c>
      <c r="I285" s="24">
        <v>1.0</v>
      </c>
      <c r="J285" s="24">
        <v>26.0</v>
      </c>
      <c r="K285" s="21" t="s">
        <v>35</v>
      </c>
      <c r="L285" s="21" t="s">
        <v>16</v>
      </c>
      <c r="M285" s="24">
        <v>1.0</v>
      </c>
      <c r="X285" s="24">
        <f>IFERROR(__xludf.DUMMYFUNCTION("""COMPUTED_VALUE"""),54.0)</f>
        <v>54</v>
      </c>
      <c r="Y285" s="21"/>
      <c r="Z285" s="24"/>
    </row>
    <row r="286">
      <c r="A286" s="21" t="s">
        <v>592</v>
      </c>
      <c r="B286" s="21" t="s">
        <v>593</v>
      </c>
      <c r="C286" s="22">
        <v>45193.0</v>
      </c>
      <c r="D286" s="22" t="str">
        <f t="shared" si="1"/>
        <v>09.2023</v>
      </c>
      <c r="E286" s="22">
        <v>45205.0</v>
      </c>
      <c r="F286" s="21" t="s">
        <v>14</v>
      </c>
      <c r="G286" s="23">
        <v>2.7</v>
      </c>
      <c r="H286" s="24">
        <v>80.0</v>
      </c>
      <c r="I286" s="24">
        <v>0.0</v>
      </c>
      <c r="J286" s="24">
        <v>13.0</v>
      </c>
      <c r="K286" s="21" t="s">
        <v>35</v>
      </c>
      <c r="L286" s="21" t="s">
        <v>16</v>
      </c>
      <c r="M286" s="24">
        <v>1.0</v>
      </c>
      <c r="X286" s="24">
        <f>IFERROR(__xludf.DUMMYFUNCTION("""COMPUTED_VALUE"""),44.0)</f>
        <v>44</v>
      </c>
      <c r="Y286" s="21"/>
      <c r="Z286" s="24"/>
    </row>
    <row r="287">
      <c r="A287" s="21" t="s">
        <v>594</v>
      </c>
      <c r="B287" s="21" t="s">
        <v>595</v>
      </c>
      <c r="C287" s="22">
        <v>45270.0</v>
      </c>
      <c r="D287" s="22" t="str">
        <f t="shared" si="1"/>
        <v>12.2023</v>
      </c>
      <c r="E287" s="22">
        <v>45282.0</v>
      </c>
      <c r="F287" s="21" t="s">
        <v>22</v>
      </c>
      <c r="G287" s="23">
        <v>3.6</v>
      </c>
      <c r="H287" s="24">
        <v>44.0</v>
      </c>
      <c r="I287" s="24">
        <v>1.0</v>
      </c>
      <c r="J287" s="24">
        <v>12.0</v>
      </c>
      <c r="K287" s="21" t="s">
        <v>23</v>
      </c>
      <c r="L287" s="21" t="s">
        <v>26</v>
      </c>
      <c r="M287" s="24">
        <v>1.0</v>
      </c>
      <c r="X287" s="24">
        <f>IFERROR(__xludf.DUMMYFUNCTION("""COMPUTED_VALUE"""),24.0)</f>
        <v>24</v>
      </c>
      <c r="Y287" s="21"/>
      <c r="Z287" s="24"/>
    </row>
    <row r="288">
      <c r="A288" s="21" t="s">
        <v>596</v>
      </c>
      <c r="B288" s="21" t="s">
        <v>597</v>
      </c>
      <c r="C288" s="22">
        <v>45260.0</v>
      </c>
      <c r="D288" s="22" t="str">
        <f t="shared" si="1"/>
        <v>11.2023</v>
      </c>
      <c r="E288" s="22">
        <v>45272.0</v>
      </c>
      <c r="F288" s="21" t="s">
        <v>14</v>
      </c>
      <c r="G288" s="23">
        <v>4.2</v>
      </c>
      <c r="H288" s="24">
        <v>13.0</v>
      </c>
      <c r="I288" s="24">
        <v>0.0</v>
      </c>
      <c r="J288" s="24">
        <v>18.0</v>
      </c>
      <c r="K288" s="21" t="s">
        <v>35</v>
      </c>
      <c r="L288" s="21" t="s">
        <v>16</v>
      </c>
      <c r="M288" s="24">
        <v>0.0</v>
      </c>
      <c r="X288" s="24">
        <f>IFERROR(__xludf.DUMMYFUNCTION("""COMPUTED_VALUE"""),13.0)</f>
        <v>13</v>
      </c>
      <c r="Y288" s="21"/>
      <c r="Z288" s="24"/>
    </row>
    <row r="289">
      <c r="A289" s="21" t="s">
        <v>598</v>
      </c>
      <c r="B289" s="21" t="s">
        <v>599</v>
      </c>
      <c r="C289" s="22">
        <v>45213.0</v>
      </c>
      <c r="D289" s="22" t="str">
        <f t="shared" si="1"/>
        <v>10.2023</v>
      </c>
      <c r="E289" s="22">
        <v>45225.0</v>
      </c>
      <c r="F289" s="21" t="s">
        <v>29</v>
      </c>
      <c r="G289" s="23">
        <v>3.5</v>
      </c>
      <c r="H289" s="24">
        <v>82.0</v>
      </c>
      <c r="I289" s="24">
        <v>0.0</v>
      </c>
      <c r="J289" s="24">
        <v>29.0</v>
      </c>
      <c r="K289" s="21" t="s">
        <v>15</v>
      </c>
      <c r="L289" s="21" t="s">
        <v>26</v>
      </c>
      <c r="M289" s="24">
        <v>0.0</v>
      </c>
      <c r="X289" s="24">
        <f>IFERROR(__xludf.DUMMYFUNCTION("""COMPUTED_VALUE"""),40.0)</f>
        <v>40</v>
      </c>
      <c r="Y289" s="21"/>
      <c r="Z289" s="24"/>
    </row>
    <row r="290">
      <c r="A290" s="21" t="s">
        <v>600</v>
      </c>
      <c r="B290" s="21" t="s">
        <v>601</v>
      </c>
      <c r="C290" s="22">
        <v>44991.0</v>
      </c>
      <c r="D290" s="22" t="str">
        <f t="shared" si="1"/>
        <v>03.2023</v>
      </c>
      <c r="E290" s="22">
        <v>45003.0</v>
      </c>
      <c r="F290" s="21" t="s">
        <v>22</v>
      </c>
      <c r="G290" s="23">
        <v>1.4</v>
      </c>
      <c r="H290" s="24">
        <v>65.0</v>
      </c>
      <c r="I290" s="24">
        <v>0.0</v>
      </c>
      <c r="J290" s="24">
        <v>51.0</v>
      </c>
      <c r="K290" s="21" t="s">
        <v>15</v>
      </c>
      <c r="L290" s="21" t="s">
        <v>47</v>
      </c>
      <c r="M290" s="24">
        <v>1.0</v>
      </c>
      <c r="X290" s="24">
        <f>IFERROR(__xludf.DUMMYFUNCTION("""COMPUTED_VALUE"""),46.0)</f>
        <v>46</v>
      </c>
      <c r="Y290" s="21"/>
      <c r="Z290" s="24"/>
    </row>
    <row r="291">
      <c r="A291" s="21" t="s">
        <v>602</v>
      </c>
      <c r="B291" s="21" t="s">
        <v>603</v>
      </c>
      <c r="C291" s="22">
        <v>45290.0</v>
      </c>
      <c r="D291" s="22" t="str">
        <f t="shared" si="1"/>
        <v>12.2023</v>
      </c>
      <c r="E291" s="22">
        <v>45302.0</v>
      </c>
      <c r="F291" s="21" t="s">
        <v>38</v>
      </c>
      <c r="G291" s="23">
        <v>1.0</v>
      </c>
      <c r="H291" s="24">
        <v>69.0</v>
      </c>
      <c r="I291" s="24">
        <v>1.0</v>
      </c>
      <c r="J291" s="24">
        <v>55.0</v>
      </c>
      <c r="K291" s="21" t="s">
        <v>23</v>
      </c>
      <c r="L291" s="21" t="s">
        <v>26</v>
      </c>
      <c r="M291" s="24">
        <v>1.0</v>
      </c>
      <c r="X291" s="24">
        <f>IFERROR(__xludf.DUMMYFUNCTION("""COMPUTED_VALUE"""),41.0)</f>
        <v>41</v>
      </c>
      <c r="Y291" s="21"/>
      <c r="Z291" s="24"/>
    </row>
    <row r="292">
      <c r="A292" s="21" t="s">
        <v>604</v>
      </c>
      <c r="B292" s="21" t="s">
        <v>605</v>
      </c>
      <c r="C292" s="22">
        <v>45126.0</v>
      </c>
      <c r="D292" s="22" t="str">
        <f t="shared" si="1"/>
        <v>07.2023</v>
      </c>
      <c r="E292" s="22">
        <v>45138.0</v>
      </c>
      <c r="F292" s="21" t="s">
        <v>22</v>
      </c>
      <c r="G292" s="23">
        <v>0.5</v>
      </c>
      <c r="H292" s="24">
        <v>10.0</v>
      </c>
      <c r="I292" s="24">
        <v>0.0</v>
      </c>
      <c r="J292" s="24">
        <v>20.0</v>
      </c>
      <c r="K292" s="21" t="s">
        <v>32</v>
      </c>
      <c r="L292" s="21" t="s">
        <v>26</v>
      </c>
      <c r="M292" s="24">
        <v>0.0</v>
      </c>
      <c r="X292" s="24">
        <f>IFERROR(__xludf.DUMMYFUNCTION("""COMPUTED_VALUE"""),17.0)</f>
        <v>17</v>
      </c>
      <c r="Y292" s="21"/>
      <c r="Z292" s="24"/>
    </row>
    <row r="293">
      <c r="A293" s="21" t="s">
        <v>606</v>
      </c>
      <c r="B293" s="21" t="s">
        <v>607</v>
      </c>
      <c r="C293" s="22">
        <v>45250.0</v>
      </c>
      <c r="D293" s="22" t="str">
        <f t="shared" si="1"/>
        <v>11.2023</v>
      </c>
      <c r="E293" s="22">
        <v>45262.0</v>
      </c>
      <c r="F293" s="21" t="s">
        <v>22</v>
      </c>
      <c r="G293" s="23">
        <v>1.2</v>
      </c>
      <c r="H293" s="24">
        <v>59.0</v>
      </c>
      <c r="I293" s="24">
        <v>1.0</v>
      </c>
      <c r="J293" s="24">
        <v>30.0</v>
      </c>
      <c r="K293" s="21" t="s">
        <v>15</v>
      </c>
      <c r="L293" s="21" t="s">
        <v>47</v>
      </c>
      <c r="M293" s="24">
        <v>1.0</v>
      </c>
      <c r="X293" s="24">
        <f>IFERROR(__xludf.DUMMYFUNCTION("""COMPUTED_VALUE"""),21.0)</f>
        <v>21</v>
      </c>
      <c r="Y293" s="21"/>
      <c r="Z293" s="24"/>
    </row>
    <row r="294">
      <c r="A294" s="21" t="s">
        <v>608</v>
      </c>
      <c r="B294" s="21" t="s">
        <v>609</v>
      </c>
      <c r="C294" s="22">
        <v>45053.0</v>
      </c>
      <c r="D294" s="22" t="str">
        <f t="shared" si="1"/>
        <v>05.2023</v>
      </c>
      <c r="E294" s="22">
        <v>45065.0</v>
      </c>
      <c r="F294" s="21" t="s">
        <v>38</v>
      </c>
      <c r="G294" s="23">
        <v>4.7</v>
      </c>
      <c r="H294" s="24">
        <v>94.0</v>
      </c>
      <c r="I294" s="24">
        <v>0.0</v>
      </c>
      <c r="J294" s="24">
        <v>25.0</v>
      </c>
      <c r="K294" s="21" t="s">
        <v>23</v>
      </c>
      <c r="L294" s="21" t="s">
        <v>47</v>
      </c>
      <c r="M294" s="24">
        <v>1.0</v>
      </c>
      <c r="X294" s="24">
        <f>IFERROR(__xludf.DUMMYFUNCTION("""COMPUTED_VALUE"""),31.0)</f>
        <v>31</v>
      </c>
      <c r="Y294" s="21"/>
      <c r="Z294" s="24"/>
    </row>
    <row r="295">
      <c r="A295" s="21" t="s">
        <v>610</v>
      </c>
      <c r="B295" s="21" t="s">
        <v>611</v>
      </c>
      <c r="C295" s="22">
        <v>45055.0</v>
      </c>
      <c r="D295" s="22" t="str">
        <f t="shared" si="1"/>
        <v>05.2023</v>
      </c>
      <c r="E295" s="22">
        <v>45067.0</v>
      </c>
      <c r="F295" s="21" t="s">
        <v>38</v>
      </c>
      <c r="G295" s="23">
        <v>4.9</v>
      </c>
      <c r="H295" s="24">
        <v>8.0</v>
      </c>
      <c r="I295" s="24">
        <v>1.0</v>
      </c>
      <c r="J295" s="24">
        <v>21.0</v>
      </c>
      <c r="K295" s="21" t="s">
        <v>15</v>
      </c>
      <c r="L295" s="21" t="s">
        <v>47</v>
      </c>
      <c r="M295" s="24">
        <v>1.0</v>
      </c>
      <c r="X295" s="24">
        <f>IFERROR(__xludf.DUMMYFUNCTION("""COMPUTED_VALUE"""),36.0)</f>
        <v>36</v>
      </c>
      <c r="Y295" s="21"/>
      <c r="Z295" s="24"/>
    </row>
    <row r="296">
      <c r="A296" s="21" t="s">
        <v>612</v>
      </c>
      <c r="B296" s="21" t="s">
        <v>613</v>
      </c>
      <c r="C296" s="22">
        <v>45278.0</v>
      </c>
      <c r="D296" s="22" t="str">
        <f t="shared" si="1"/>
        <v>12.2023</v>
      </c>
      <c r="E296" s="22">
        <v>45290.0</v>
      </c>
      <c r="F296" s="21" t="s">
        <v>29</v>
      </c>
      <c r="G296" s="23">
        <v>4.8</v>
      </c>
      <c r="H296" s="24">
        <v>78.0</v>
      </c>
      <c r="I296" s="24">
        <v>1.0</v>
      </c>
      <c r="J296" s="24">
        <v>44.0</v>
      </c>
      <c r="K296" s="21" t="s">
        <v>32</v>
      </c>
      <c r="L296" s="21" t="s">
        <v>16</v>
      </c>
      <c r="M296" s="24">
        <v>1.0</v>
      </c>
      <c r="X296" s="24">
        <f>IFERROR(__xludf.DUMMYFUNCTION("""COMPUTED_VALUE"""),28.0)</f>
        <v>28</v>
      </c>
      <c r="Y296" s="21"/>
      <c r="Z296" s="24"/>
    </row>
    <row r="297">
      <c r="A297" s="21" t="s">
        <v>614</v>
      </c>
      <c r="B297" s="21" t="s">
        <v>615</v>
      </c>
      <c r="C297" s="22">
        <v>45250.0</v>
      </c>
      <c r="D297" s="22" t="str">
        <f t="shared" si="1"/>
        <v>11.2023</v>
      </c>
      <c r="E297" s="22">
        <v>45262.0</v>
      </c>
      <c r="F297" s="21" t="s">
        <v>22</v>
      </c>
      <c r="G297" s="23">
        <v>4.6</v>
      </c>
      <c r="H297" s="24">
        <v>47.0</v>
      </c>
      <c r="I297" s="24">
        <v>0.0</v>
      </c>
      <c r="J297" s="24">
        <v>19.0</v>
      </c>
      <c r="K297" s="21" t="s">
        <v>15</v>
      </c>
      <c r="L297" s="21" t="s">
        <v>26</v>
      </c>
      <c r="M297" s="24">
        <v>1.0</v>
      </c>
      <c r="X297" s="24">
        <f>IFERROR(__xludf.DUMMYFUNCTION("""COMPUTED_VALUE"""),20.0)</f>
        <v>20</v>
      </c>
      <c r="Y297" s="21"/>
      <c r="Z297" s="24"/>
    </row>
    <row r="298">
      <c r="A298" s="21" t="s">
        <v>616</v>
      </c>
      <c r="B298" s="21" t="s">
        <v>617</v>
      </c>
      <c r="C298" s="22">
        <v>44938.0</v>
      </c>
      <c r="D298" s="22" t="str">
        <f t="shared" si="1"/>
        <v>01.2023</v>
      </c>
      <c r="E298" s="22">
        <v>44950.0</v>
      </c>
      <c r="F298" s="21" t="s">
        <v>14</v>
      </c>
      <c r="G298" s="23">
        <v>2.4</v>
      </c>
      <c r="H298" s="24">
        <v>17.0</v>
      </c>
      <c r="I298" s="24">
        <v>1.0</v>
      </c>
      <c r="J298" s="24">
        <v>32.0</v>
      </c>
      <c r="K298" s="21" t="s">
        <v>35</v>
      </c>
      <c r="L298" s="21" t="s">
        <v>47</v>
      </c>
      <c r="M298" s="24">
        <v>1.0</v>
      </c>
      <c r="X298" s="24">
        <f>IFERROR(__xludf.DUMMYFUNCTION("""COMPUTED_VALUE"""),16.0)</f>
        <v>16</v>
      </c>
      <c r="Y298" s="21"/>
      <c r="Z298" s="24"/>
    </row>
    <row r="299">
      <c r="A299" s="21" t="s">
        <v>618</v>
      </c>
      <c r="B299" s="21" t="s">
        <v>619</v>
      </c>
      <c r="C299" s="22">
        <v>44947.0</v>
      </c>
      <c r="D299" s="22" t="str">
        <f t="shared" si="1"/>
        <v>01.2023</v>
      </c>
      <c r="E299" s="22">
        <v>44959.0</v>
      </c>
      <c r="F299" s="21" t="s">
        <v>29</v>
      </c>
      <c r="G299" s="23">
        <v>0.4</v>
      </c>
      <c r="H299" s="24">
        <v>6.0</v>
      </c>
      <c r="I299" s="24">
        <v>0.0</v>
      </c>
      <c r="J299" s="24">
        <v>47.0</v>
      </c>
      <c r="K299" s="21" t="s">
        <v>32</v>
      </c>
      <c r="L299" s="21" t="s">
        <v>47</v>
      </c>
      <c r="M299" s="24">
        <v>0.0</v>
      </c>
      <c r="X299" s="24">
        <f>IFERROR(__xludf.DUMMYFUNCTION("""COMPUTED_VALUE"""),51.0)</f>
        <v>51</v>
      </c>
      <c r="Y299" s="21"/>
      <c r="Z299" s="24"/>
    </row>
    <row r="300">
      <c r="A300" s="21" t="s">
        <v>620</v>
      </c>
      <c r="B300" s="21" t="s">
        <v>621</v>
      </c>
      <c r="C300" s="22">
        <v>45184.0</v>
      </c>
      <c r="D300" s="22" t="str">
        <f t="shared" si="1"/>
        <v>09.2023</v>
      </c>
      <c r="E300" s="22">
        <v>45196.0</v>
      </c>
      <c r="F300" s="21" t="s">
        <v>14</v>
      </c>
      <c r="G300" s="23">
        <v>0.3</v>
      </c>
      <c r="H300" s="24">
        <v>35.0</v>
      </c>
      <c r="I300" s="24">
        <v>1.0</v>
      </c>
      <c r="J300" s="24">
        <v>37.0</v>
      </c>
      <c r="K300" s="21" t="s">
        <v>19</v>
      </c>
      <c r="L300" s="21" t="s">
        <v>26</v>
      </c>
      <c r="M300" s="24">
        <v>1.0</v>
      </c>
      <c r="X300" s="24">
        <f>IFERROR(__xludf.DUMMYFUNCTION("""COMPUTED_VALUE"""),12.0)</f>
        <v>12</v>
      </c>
      <c r="Y300" s="21"/>
      <c r="Z300" s="24"/>
    </row>
    <row r="301">
      <c r="A301" s="21" t="s">
        <v>622</v>
      </c>
      <c r="B301" s="21" t="s">
        <v>623</v>
      </c>
      <c r="C301" s="22">
        <v>45125.0</v>
      </c>
      <c r="D301" s="22" t="str">
        <f t="shared" si="1"/>
        <v>07.2023</v>
      </c>
      <c r="E301" s="22">
        <v>45137.0</v>
      </c>
      <c r="F301" s="21" t="s">
        <v>22</v>
      </c>
      <c r="G301" s="23">
        <v>0.2</v>
      </c>
      <c r="H301" s="24">
        <v>15.0</v>
      </c>
      <c r="I301" s="24">
        <v>1.0</v>
      </c>
      <c r="J301" s="24">
        <v>23.0</v>
      </c>
      <c r="K301" s="21" t="s">
        <v>19</v>
      </c>
      <c r="L301" s="21" t="s">
        <v>47</v>
      </c>
      <c r="M301" s="24">
        <v>1.0</v>
      </c>
      <c r="X301" s="24">
        <f>IFERROR(__xludf.DUMMYFUNCTION("""COMPUTED_VALUE"""),45.0)</f>
        <v>45</v>
      </c>
      <c r="Y301" s="21"/>
      <c r="Z301" s="24"/>
    </row>
    <row r="302">
      <c r="A302" s="21" t="s">
        <v>624</v>
      </c>
      <c r="B302" s="21" t="s">
        <v>625</v>
      </c>
      <c r="C302" s="22">
        <v>45165.0</v>
      </c>
      <c r="D302" s="22" t="str">
        <f t="shared" si="1"/>
        <v>08.2023</v>
      </c>
      <c r="E302" s="22">
        <v>45177.0</v>
      </c>
      <c r="F302" s="21" t="s">
        <v>14</v>
      </c>
      <c r="G302" s="23">
        <v>2.9</v>
      </c>
      <c r="H302" s="24">
        <v>72.0</v>
      </c>
      <c r="I302" s="24">
        <v>1.0</v>
      </c>
      <c r="J302" s="24">
        <v>39.0</v>
      </c>
      <c r="K302" s="21" t="s">
        <v>23</v>
      </c>
      <c r="L302" s="21" t="s">
        <v>16</v>
      </c>
      <c r="M302" s="24">
        <v>1.0</v>
      </c>
      <c r="X302" s="24">
        <f>IFERROR(__xludf.DUMMYFUNCTION("""COMPUTED_VALUE"""),22.0)</f>
        <v>22</v>
      </c>
      <c r="Y302" s="21"/>
      <c r="Z302" s="24"/>
    </row>
    <row r="303">
      <c r="A303" s="21" t="s">
        <v>626</v>
      </c>
      <c r="B303" s="21" t="s">
        <v>627</v>
      </c>
      <c r="C303" s="22">
        <v>45251.0</v>
      </c>
      <c r="D303" s="22" t="str">
        <f t="shared" si="1"/>
        <v>11.2023</v>
      </c>
      <c r="E303" s="22">
        <v>45263.0</v>
      </c>
      <c r="F303" s="21" t="s">
        <v>14</v>
      </c>
      <c r="G303" s="23">
        <v>2.5</v>
      </c>
      <c r="H303" s="24">
        <v>31.0</v>
      </c>
      <c r="I303" s="24">
        <v>0.0</v>
      </c>
      <c r="J303" s="24">
        <v>41.0</v>
      </c>
      <c r="K303" s="21" t="s">
        <v>23</v>
      </c>
      <c r="L303" s="21" t="s">
        <v>16</v>
      </c>
      <c r="M303" s="24">
        <v>1.0</v>
      </c>
      <c r="X303" s="24">
        <f>IFERROR(__xludf.DUMMYFUNCTION("""COMPUTED_VALUE"""),33.0)</f>
        <v>33</v>
      </c>
      <c r="Y303" s="21"/>
      <c r="Z303" s="24"/>
    </row>
    <row r="304">
      <c r="A304" s="21" t="s">
        <v>628</v>
      </c>
      <c r="B304" s="21" t="s">
        <v>629</v>
      </c>
      <c r="C304" s="22">
        <v>45097.0</v>
      </c>
      <c r="D304" s="22" t="str">
        <f t="shared" si="1"/>
        <v>06.2023</v>
      </c>
      <c r="E304" s="22">
        <v>45109.0</v>
      </c>
      <c r="F304" s="21" t="s">
        <v>29</v>
      </c>
      <c r="G304" s="23">
        <v>4.1</v>
      </c>
      <c r="H304" s="24">
        <v>22.0</v>
      </c>
      <c r="I304" s="24">
        <v>1.0</v>
      </c>
      <c r="J304" s="24">
        <v>36.0</v>
      </c>
      <c r="K304" s="21" t="s">
        <v>15</v>
      </c>
      <c r="L304" s="21" t="s">
        <v>26</v>
      </c>
      <c r="M304" s="24">
        <v>1.0</v>
      </c>
      <c r="X304" s="24">
        <f>IFERROR(__xludf.DUMMYFUNCTION("""COMPUTED_VALUE"""),32.0)</f>
        <v>32</v>
      </c>
      <c r="Y304" s="21"/>
      <c r="Z304" s="24"/>
    </row>
    <row r="305">
      <c r="A305" s="21" t="s">
        <v>630</v>
      </c>
      <c r="B305" s="21" t="s">
        <v>631</v>
      </c>
      <c r="C305" s="22">
        <v>45282.0</v>
      </c>
      <c r="D305" s="22" t="str">
        <f t="shared" si="1"/>
        <v>12.2023</v>
      </c>
      <c r="E305" s="22">
        <v>45294.0</v>
      </c>
      <c r="F305" s="21" t="s">
        <v>38</v>
      </c>
      <c r="G305" s="23">
        <v>0.6</v>
      </c>
      <c r="H305" s="24">
        <v>51.0</v>
      </c>
      <c r="I305" s="24">
        <v>0.0</v>
      </c>
      <c r="J305" s="24">
        <v>24.0</v>
      </c>
      <c r="K305" s="21" t="s">
        <v>32</v>
      </c>
      <c r="L305" s="21" t="s">
        <v>16</v>
      </c>
      <c r="M305" s="24">
        <v>0.0</v>
      </c>
      <c r="X305" s="24">
        <f>IFERROR(__xludf.DUMMYFUNCTION("""COMPUTED_VALUE"""),26.0)</f>
        <v>26</v>
      </c>
      <c r="Y305" s="21"/>
      <c r="Z305" s="24"/>
    </row>
    <row r="306">
      <c r="A306" s="21" t="s">
        <v>632</v>
      </c>
      <c r="B306" s="21" t="s">
        <v>633</v>
      </c>
      <c r="C306" s="22">
        <v>45051.0</v>
      </c>
      <c r="D306" s="22" t="str">
        <f t="shared" si="1"/>
        <v>05.2023</v>
      </c>
      <c r="E306" s="22">
        <v>45063.0</v>
      </c>
      <c r="F306" s="21" t="s">
        <v>22</v>
      </c>
      <c r="G306" s="23">
        <v>1.7</v>
      </c>
      <c r="H306" s="24">
        <v>65.0</v>
      </c>
      <c r="I306" s="24">
        <v>1.0</v>
      </c>
      <c r="J306" s="24">
        <v>28.0</v>
      </c>
      <c r="K306" s="21" t="s">
        <v>32</v>
      </c>
      <c r="L306" s="21" t="s">
        <v>26</v>
      </c>
      <c r="M306" s="24">
        <v>1.0</v>
      </c>
      <c r="X306" s="24">
        <f>IFERROR(__xludf.DUMMYFUNCTION("""COMPUTED_VALUE"""),19.0)</f>
        <v>19</v>
      </c>
      <c r="Y306" s="21"/>
      <c r="Z306" s="24"/>
    </row>
    <row r="307">
      <c r="A307" s="21" t="s">
        <v>634</v>
      </c>
      <c r="B307" s="21" t="s">
        <v>635</v>
      </c>
      <c r="C307" s="22">
        <v>45166.0</v>
      </c>
      <c r="D307" s="22" t="str">
        <f t="shared" si="1"/>
        <v>08.2023</v>
      </c>
      <c r="E307" s="22">
        <v>45178.0</v>
      </c>
      <c r="F307" s="21" t="s">
        <v>29</v>
      </c>
      <c r="G307" s="23">
        <v>4.4</v>
      </c>
      <c r="H307" s="24">
        <v>48.0</v>
      </c>
      <c r="I307" s="24">
        <v>1.0</v>
      </c>
      <c r="J307" s="24">
        <v>16.0</v>
      </c>
      <c r="K307" s="21" t="s">
        <v>23</v>
      </c>
      <c r="L307" s="21" t="s">
        <v>47</v>
      </c>
      <c r="M307" s="24">
        <v>1.0</v>
      </c>
      <c r="X307" s="24">
        <f>IFERROR(__xludf.DUMMYFUNCTION("""COMPUTED_VALUE"""),44.0)</f>
        <v>44</v>
      </c>
      <c r="Y307" s="21"/>
      <c r="Z307" s="24"/>
    </row>
    <row r="308">
      <c r="A308" s="21" t="s">
        <v>636</v>
      </c>
      <c r="B308" s="21" t="s">
        <v>637</v>
      </c>
      <c r="C308" s="22">
        <v>45205.0</v>
      </c>
      <c r="D308" s="22" t="str">
        <f t="shared" si="1"/>
        <v>10.2023</v>
      </c>
      <c r="E308" s="22">
        <v>45217.0</v>
      </c>
      <c r="F308" s="21" t="s">
        <v>38</v>
      </c>
      <c r="G308" s="23">
        <v>0.6</v>
      </c>
      <c r="H308" s="24">
        <v>42.0</v>
      </c>
      <c r="I308" s="24">
        <v>0.0</v>
      </c>
      <c r="J308" s="24">
        <v>14.0</v>
      </c>
      <c r="K308" s="21" t="s">
        <v>32</v>
      </c>
      <c r="L308" s="21" t="s">
        <v>16</v>
      </c>
      <c r="M308" s="24">
        <v>0.0</v>
      </c>
      <c r="X308" s="24">
        <f>IFERROR(__xludf.DUMMYFUNCTION("""COMPUTED_VALUE"""),48.0)</f>
        <v>48</v>
      </c>
      <c r="Y308" s="21"/>
      <c r="Z308" s="24"/>
    </row>
    <row r="309">
      <c r="A309" s="21" t="s">
        <v>638</v>
      </c>
      <c r="B309" s="21" t="s">
        <v>639</v>
      </c>
      <c r="C309" s="22">
        <v>45085.0</v>
      </c>
      <c r="D309" s="22" t="str">
        <f t="shared" si="1"/>
        <v>06.2023</v>
      </c>
      <c r="E309" s="22">
        <v>45097.0</v>
      </c>
      <c r="F309" s="21" t="s">
        <v>38</v>
      </c>
      <c r="G309" s="23">
        <v>4.9</v>
      </c>
      <c r="H309" s="24">
        <v>82.0</v>
      </c>
      <c r="I309" s="24">
        <v>0.0</v>
      </c>
      <c r="J309" s="24">
        <v>33.0</v>
      </c>
      <c r="K309" s="21" t="s">
        <v>19</v>
      </c>
      <c r="L309" s="21" t="s">
        <v>47</v>
      </c>
      <c r="M309" s="24">
        <v>1.0</v>
      </c>
      <c r="X309" s="24">
        <f>IFERROR(__xludf.DUMMYFUNCTION("""COMPUTED_VALUE"""),21.0)</f>
        <v>21</v>
      </c>
      <c r="Y309" s="21"/>
      <c r="Z309" s="24"/>
    </row>
    <row r="310">
      <c r="A310" s="21" t="s">
        <v>640</v>
      </c>
      <c r="B310" s="21" t="s">
        <v>641</v>
      </c>
      <c r="C310" s="22">
        <v>44965.0</v>
      </c>
      <c r="D310" s="22" t="str">
        <f t="shared" si="1"/>
        <v>02.2023</v>
      </c>
      <c r="E310" s="22">
        <v>44977.0</v>
      </c>
      <c r="F310" s="21" t="s">
        <v>29</v>
      </c>
      <c r="G310" s="23">
        <v>0.1</v>
      </c>
      <c r="H310" s="24">
        <v>37.0</v>
      </c>
      <c r="I310" s="24">
        <v>0.0</v>
      </c>
      <c r="J310" s="24">
        <v>22.0</v>
      </c>
      <c r="K310" s="21" t="s">
        <v>15</v>
      </c>
      <c r="L310" s="21" t="s">
        <v>26</v>
      </c>
      <c r="M310" s="24">
        <v>1.0</v>
      </c>
      <c r="X310" s="24">
        <f>IFERROR(__xludf.DUMMYFUNCTION("""COMPUTED_VALUE"""),43.0)</f>
        <v>43</v>
      </c>
      <c r="Y310" s="21"/>
      <c r="Z310" s="24"/>
    </row>
    <row r="311">
      <c r="A311" s="21" t="s">
        <v>642</v>
      </c>
      <c r="B311" s="21" t="s">
        <v>643</v>
      </c>
      <c r="C311" s="22">
        <v>45258.0</v>
      </c>
      <c r="D311" s="22" t="str">
        <f t="shared" si="1"/>
        <v>11.2023</v>
      </c>
      <c r="E311" s="22">
        <v>45270.0</v>
      </c>
      <c r="F311" s="21" t="s">
        <v>38</v>
      </c>
      <c r="G311" s="23">
        <v>1.2</v>
      </c>
      <c r="H311" s="24">
        <v>74.0</v>
      </c>
      <c r="I311" s="24">
        <v>1.0</v>
      </c>
      <c r="J311" s="24">
        <v>40.0</v>
      </c>
      <c r="K311" s="21" t="s">
        <v>32</v>
      </c>
      <c r="L311" s="21" t="s">
        <v>16</v>
      </c>
      <c r="M311" s="24">
        <v>1.0</v>
      </c>
      <c r="X311" s="24">
        <f>IFERROR(__xludf.DUMMYFUNCTION("""COMPUTED_VALUE"""),13.0)</f>
        <v>13</v>
      </c>
      <c r="Y311" s="21"/>
      <c r="Z311" s="24"/>
    </row>
    <row r="312">
      <c r="A312" s="21" t="s">
        <v>644</v>
      </c>
      <c r="B312" s="21" t="s">
        <v>645</v>
      </c>
      <c r="C312" s="22">
        <v>45235.0</v>
      </c>
      <c r="D312" s="22" t="str">
        <f t="shared" si="1"/>
        <v>11.2023</v>
      </c>
      <c r="E312" s="22">
        <v>45247.0</v>
      </c>
      <c r="F312" s="21" t="s">
        <v>29</v>
      </c>
      <c r="G312" s="23">
        <v>1.6</v>
      </c>
      <c r="H312" s="24">
        <v>32.0</v>
      </c>
      <c r="I312" s="24">
        <v>1.0</v>
      </c>
      <c r="J312" s="24">
        <v>17.0</v>
      </c>
      <c r="K312" s="21" t="s">
        <v>23</v>
      </c>
      <c r="L312" s="21" t="s">
        <v>16</v>
      </c>
      <c r="M312" s="24">
        <v>0.0</v>
      </c>
      <c r="X312" s="24">
        <f>IFERROR(__xludf.DUMMYFUNCTION("""COMPUTED_VALUE"""),45.0)</f>
        <v>45</v>
      </c>
      <c r="Y312" s="21"/>
      <c r="Z312" s="24"/>
    </row>
    <row r="313">
      <c r="A313" s="21" t="s">
        <v>646</v>
      </c>
      <c r="B313" s="21" t="s">
        <v>647</v>
      </c>
      <c r="C313" s="22">
        <v>45281.0</v>
      </c>
      <c r="D313" s="22" t="str">
        <f t="shared" si="1"/>
        <v>12.2023</v>
      </c>
      <c r="E313" s="22">
        <v>45293.0</v>
      </c>
      <c r="F313" s="21" t="s">
        <v>29</v>
      </c>
      <c r="G313" s="23">
        <v>3.2</v>
      </c>
      <c r="H313" s="24">
        <v>8.0</v>
      </c>
      <c r="I313" s="24">
        <v>1.0</v>
      </c>
      <c r="J313" s="24">
        <v>42.0</v>
      </c>
      <c r="K313" s="21" t="s">
        <v>15</v>
      </c>
      <c r="L313" s="21" t="s">
        <v>16</v>
      </c>
      <c r="M313" s="24">
        <v>1.0</v>
      </c>
      <c r="X313" s="24">
        <f>IFERROR(__xludf.DUMMYFUNCTION("""COMPUTED_VALUE"""),50.0)</f>
        <v>50</v>
      </c>
      <c r="Y313" s="21"/>
      <c r="Z313" s="24"/>
    </row>
    <row r="314">
      <c r="A314" s="21" t="s">
        <v>648</v>
      </c>
      <c r="B314" s="21" t="s">
        <v>649</v>
      </c>
      <c r="C314" s="22">
        <v>45122.0</v>
      </c>
      <c r="D314" s="22" t="str">
        <f t="shared" si="1"/>
        <v>07.2023</v>
      </c>
      <c r="E314" s="22">
        <v>45134.0</v>
      </c>
      <c r="F314" s="21" t="s">
        <v>29</v>
      </c>
      <c r="G314" s="23">
        <v>1.0</v>
      </c>
      <c r="H314" s="24">
        <v>44.0</v>
      </c>
      <c r="I314" s="24">
        <v>1.0</v>
      </c>
      <c r="J314" s="24">
        <v>45.0</v>
      </c>
      <c r="K314" s="21" t="s">
        <v>15</v>
      </c>
      <c r="L314" s="21" t="s">
        <v>16</v>
      </c>
      <c r="M314" s="24">
        <v>1.0</v>
      </c>
      <c r="X314" s="24">
        <f>IFERROR(__xludf.DUMMYFUNCTION("""COMPUTED_VALUE"""),47.0)</f>
        <v>47</v>
      </c>
      <c r="Y314" s="21"/>
      <c r="Z314" s="24"/>
    </row>
    <row r="315">
      <c r="A315" s="21" t="s">
        <v>650</v>
      </c>
      <c r="B315" s="21" t="s">
        <v>651</v>
      </c>
      <c r="C315" s="22">
        <v>45119.0</v>
      </c>
      <c r="D315" s="22" t="str">
        <f t="shared" si="1"/>
        <v>07.2023</v>
      </c>
      <c r="E315" s="22">
        <v>45131.0</v>
      </c>
      <c r="F315" s="21" t="s">
        <v>29</v>
      </c>
      <c r="G315" s="23">
        <v>3.4</v>
      </c>
      <c r="H315" s="24">
        <v>78.0</v>
      </c>
      <c r="I315" s="24">
        <v>0.0</v>
      </c>
      <c r="J315" s="24">
        <v>31.0</v>
      </c>
      <c r="K315" s="21" t="s">
        <v>32</v>
      </c>
      <c r="L315" s="21" t="s">
        <v>16</v>
      </c>
      <c r="M315" s="24">
        <v>1.0</v>
      </c>
      <c r="X315" s="24">
        <f>IFERROR(__xludf.DUMMYFUNCTION("""COMPUTED_VALUE"""),17.0)</f>
        <v>17</v>
      </c>
      <c r="Y315" s="21"/>
      <c r="Z315" s="24"/>
    </row>
    <row r="316">
      <c r="A316" s="21" t="s">
        <v>652</v>
      </c>
      <c r="B316" s="21" t="s">
        <v>653</v>
      </c>
      <c r="C316" s="22">
        <v>44933.0</v>
      </c>
      <c r="D316" s="22" t="str">
        <f t="shared" si="1"/>
        <v>01.2023</v>
      </c>
      <c r="E316" s="22">
        <v>44945.0</v>
      </c>
      <c r="F316" s="21" t="s">
        <v>22</v>
      </c>
      <c r="G316" s="23">
        <v>2.4</v>
      </c>
      <c r="H316" s="24">
        <v>72.0</v>
      </c>
      <c r="I316" s="24">
        <v>0.0</v>
      </c>
      <c r="J316" s="24">
        <v>56.0</v>
      </c>
      <c r="K316" s="21" t="s">
        <v>15</v>
      </c>
      <c r="L316" s="21" t="s">
        <v>16</v>
      </c>
      <c r="M316" s="24">
        <v>1.0</v>
      </c>
      <c r="X316" s="24">
        <f>IFERROR(__xludf.DUMMYFUNCTION("""COMPUTED_VALUE"""),24.0)</f>
        <v>24</v>
      </c>
      <c r="Y316" s="21"/>
      <c r="Z316" s="24"/>
    </row>
    <row r="317">
      <c r="A317" s="21" t="s">
        <v>654</v>
      </c>
      <c r="B317" s="21" t="s">
        <v>655</v>
      </c>
      <c r="C317" s="22">
        <v>44960.0</v>
      </c>
      <c r="D317" s="22" t="str">
        <f t="shared" si="1"/>
        <v>02.2023</v>
      </c>
      <c r="E317" s="22">
        <v>44972.0</v>
      </c>
      <c r="F317" s="21" t="s">
        <v>14</v>
      </c>
      <c r="G317" s="23">
        <v>4.6</v>
      </c>
      <c r="H317" s="24">
        <v>98.0</v>
      </c>
      <c r="I317" s="24">
        <v>1.0</v>
      </c>
      <c r="J317" s="24">
        <v>20.0</v>
      </c>
      <c r="K317" s="21" t="s">
        <v>15</v>
      </c>
      <c r="L317" s="21" t="s">
        <v>26</v>
      </c>
      <c r="M317" s="24">
        <v>1.0</v>
      </c>
      <c r="X317" s="24">
        <f>IFERROR(__xludf.DUMMYFUNCTION("""COMPUTED_VALUE"""),51.0)</f>
        <v>51</v>
      </c>
      <c r="Y317" s="21"/>
      <c r="Z317" s="24"/>
    </row>
    <row r="318">
      <c r="A318" s="21" t="s">
        <v>656</v>
      </c>
      <c r="B318" s="21" t="s">
        <v>657</v>
      </c>
      <c r="C318" s="22">
        <v>45212.0</v>
      </c>
      <c r="D318" s="22" t="str">
        <f t="shared" si="1"/>
        <v>10.2023</v>
      </c>
      <c r="E318" s="22">
        <v>45224.0</v>
      </c>
      <c r="F318" s="21" t="s">
        <v>38</v>
      </c>
      <c r="G318" s="23">
        <v>4.8</v>
      </c>
      <c r="H318" s="24">
        <v>34.0</v>
      </c>
      <c r="I318" s="24">
        <v>1.0</v>
      </c>
      <c r="J318" s="24">
        <v>36.0</v>
      </c>
      <c r="K318" s="21" t="s">
        <v>35</v>
      </c>
      <c r="L318" s="21" t="s">
        <v>16</v>
      </c>
      <c r="M318" s="24">
        <v>0.0</v>
      </c>
      <c r="X318" s="24">
        <f>IFERROR(__xludf.DUMMYFUNCTION("""COMPUTED_VALUE"""),28.0)</f>
        <v>28</v>
      </c>
      <c r="Y318" s="21"/>
      <c r="Z318" s="24"/>
    </row>
    <row r="319">
      <c r="A319" s="21" t="s">
        <v>658</v>
      </c>
      <c r="B319" s="21" t="s">
        <v>659</v>
      </c>
      <c r="C319" s="22">
        <v>45268.0</v>
      </c>
      <c r="D319" s="22" t="str">
        <f t="shared" si="1"/>
        <v>12.2023</v>
      </c>
      <c r="E319" s="22">
        <v>45280.0</v>
      </c>
      <c r="F319" s="21" t="s">
        <v>22</v>
      </c>
      <c r="G319" s="23">
        <v>1.7</v>
      </c>
      <c r="H319" s="24">
        <v>85.0</v>
      </c>
      <c r="I319" s="24">
        <v>1.0</v>
      </c>
      <c r="J319" s="24">
        <v>46.0</v>
      </c>
      <c r="K319" s="21" t="s">
        <v>32</v>
      </c>
      <c r="L319" s="21" t="s">
        <v>47</v>
      </c>
      <c r="M319" s="24">
        <v>1.0</v>
      </c>
      <c r="X319" s="24">
        <f>IFERROR(__xludf.DUMMYFUNCTION("""COMPUTED_VALUE"""),15.0)</f>
        <v>15</v>
      </c>
      <c r="Y319" s="21"/>
      <c r="Z319" s="24"/>
    </row>
    <row r="320">
      <c r="A320" s="21" t="s">
        <v>660</v>
      </c>
      <c r="B320" s="21" t="s">
        <v>661</v>
      </c>
      <c r="C320" s="22">
        <v>44941.0</v>
      </c>
      <c r="D320" s="22" t="str">
        <f t="shared" si="1"/>
        <v>01.2023</v>
      </c>
      <c r="E320" s="22">
        <v>44953.0</v>
      </c>
      <c r="F320" s="21" t="s">
        <v>29</v>
      </c>
      <c r="G320" s="23">
        <v>4.2</v>
      </c>
      <c r="H320" s="24">
        <v>79.0</v>
      </c>
      <c r="I320" s="24">
        <v>1.0</v>
      </c>
      <c r="J320" s="24">
        <v>25.0</v>
      </c>
      <c r="K320" s="21" t="s">
        <v>23</v>
      </c>
      <c r="L320" s="21" t="s">
        <v>16</v>
      </c>
      <c r="M320" s="24">
        <v>1.0</v>
      </c>
      <c r="X320" s="24">
        <f>IFERROR(__xludf.DUMMYFUNCTION("""COMPUTED_VALUE"""),52.0)</f>
        <v>52</v>
      </c>
      <c r="Y320" s="21"/>
      <c r="Z320" s="24"/>
    </row>
    <row r="321">
      <c r="A321" s="21" t="s">
        <v>662</v>
      </c>
      <c r="B321" s="21" t="s">
        <v>663</v>
      </c>
      <c r="C321" s="22">
        <v>45235.0</v>
      </c>
      <c r="D321" s="22" t="str">
        <f t="shared" si="1"/>
        <v>11.2023</v>
      </c>
      <c r="E321" s="22">
        <v>45247.0</v>
      </c>
      <c r="F321" s="21" t="s">
        <v>14</v>
      </c>
      <c r="G321" s="23">
        <v>1.3</v>
      </c>
      <c r="H321" s="24">
        <v>6.0</v>
      </c>
      <c r="I321" s="24">
        <v>0.0</v>
      </c>
      <c r="J321" s="24">
        <v>48.0</v>
      </c>
      <c r="K321" s="21" t="s">
        <v>19</v>
      </c>
      <c r="L321" s="21" t="s">
        <v>16</v>
      </c>
      <c r="M321" s="24">
        <v>0.0</v>
      </c>
      <c r="X321" s="24">
        <f>IFERROR(__xludf.DUMMYFUNCTION("""COMPUTED_VALUE"""),39.0)</f>
        <v>39</v>
      </c>
      <c r="Y321" s="21"/>
      <c r="Z321" s="24"/>
    </row>
    <row r="322">
      <c r="A322" s="21" t="s">
        <v>664</v>
      </c>
      <c r="B322" s="21" t="s">
        <v>665</v>
      </c>
      <c r="C322" s="22">
        <v>45013.0</v>
      </c>
      <c r="D322" s="22" t="str">
        <f t="shared" si="1"/>
        <v>03.2023</v>
      </c>
      <c r="E322" s="22">
        <v>45025.0</v>
      </c>
      <c r="F322" s="21" t="s">
        <v>22</v>
      </c>
      <c r="G322" s="23">
        <v>3.9</v>
      </c>
      <c r="H322" s="24">
        <v>76.0</v>
      </c>
      <c r="I322" s="24">
        <v>1.0</v>
      </c>
      <c r="J322" s="24">
        <v>13.0</v>
      </c>
      <c r="K322" s="21" t="s">
        <v>32</v>
      </c>
      <c r="L322" s="21" t="s">
        <v>16</v>
      </c>
      <c r="M322" s="24">
        <v>1.0</v>
      </c>
      <c r="X322" s="24">
        <f>IFERROR(__xludf.DUMMYFUNCTION("""COMPUTED_VALUE"""),30.0)</f>
        <v>30</v>
      </c>
      <c r="Y322" s="21"/>
      <c r="Z322" s="24"/>
    </row>
    <row r="323">
      <c r="A323" s="21" t="s">
        <v>666</v>
      </c>
      <c r="B323" s="21" t="s">
        <v>667</v>
      </c>
      <c r="C323" s="22">
        <v>45018.0</v>
      </c>
      <c r="D323" s="22" t="str">
        <f t="shared" si="1"/>
        <v>04.2023</v>
      </c>
      <c r="E323" s="22">
        <v>45030.0</v>
      </c>
      <c r="F323" s="21" t="s">
        <v>22</v>
      </c>
      <c r="G323" s="23">
        <v>3.3</v>
      </c>
      <c r="H323" s="24">
        <v>97.0</v>
      </c>
      <c r="I323" s="24">
        <v>0.0</v>
      </c>
      <c r="J323" s="24">
        <v>29.0</v>
      </c>
      <c r="K323" s="21" t="s">
        <v>32</v>
      </c>
      <c r="L323" s="21" t="s">
        <v>16</v>
      </c>
      <c r="M323" s="24">
        <v>1.0</v>
      </c>
      <c r="X323" s="24">
        <f>IFERROR(__xludf.DUMMYFUNCTION("""COMPUTED_VALUE"""),49.0)</f>
        <v>49</v>
      </c>
      <c r="Y323" s="21"/>
      <c r="Z323" s="24"/>
    </row>
    <row r="324">
      <c r="A324" s="21" t="s">
        <v>668</v>
      </c>
      <c r="B324" s="21" t="s">
        <v>669</v>
      </c>
      <c r="C324" s="22">
        <v>45122.0</v>
      </c>
      <c r="D324" s="22" t="str">
        <f t="shared" si="1"/>
        <v>07.2023</v>
      </c>
      <c r="E324" s="22">
        <v>45134.0</v>
      </c>
      <c r="F324" s="21" t="s">
        <v>38</v>
      </c>
      <c r="G324" s="23">
        <v>1.8</v>
      </c>
      <c r="H324" s="24">
        <v>47.0</v>
      </c>
      <c r="I324" s="24">
        <v>1.0</v>
      </c>
      <c r="J324" s="24">
        <v>31.0</v>
      </c>
      <c r="K324" s="21" t="s">
        <v>32</v>
      </c>
      <c r="L324" s="21" t="s">
        <v>47</v>
      </c>
      <c r="M324" s="24">
        <v>1.0</v>
      </c>
      <c r="X324" s="24">
        <f>IFERROR(__xludf.DUMMYFUNCTION("""COMPUTED_VALUE"""),56.0)</f>
        <v>56</v>
      </c>
      <c r="Y324" s="21"/>
      <c r="Z324" s="24"/>
    </row>
    <row r="325">
      <c r="A325" s="21" t="s">
        <v>670</v>
      </c>
      <c r="B325" s="21" t="s">
        <v>671</v>
      </c>
      <c r="C325" s="22">
        <v>45277.0</v>
      </c>
      <c r="D325" s="22" t="str">
        <f t="shared" si="1"/>
        <v>12.2023</v>
      </c>
      <c r="E325" s="22">
        <v>45289.0</v>
      </c>
      <c r="F325" s="21" t="s">
        <v>38</v>
      </c>
      <c r="G325" s="23">
        <v>0.4</v>
      </c>
      <c r="H325" s="24">
        <v>84.0</v>
      </c>
      <c r="I325" s="24">
        <v>0.0</v>
      </c>
      <c r="J325" s="24">
        <v>44.0</v>
      </c>
      <c r="K325" s="21" t="s">
        <v>32</v>
      </c>
      <c r="L325" s="21" t="s">
        <v>47</v>
      </c>
      <c r="M325" s="24">
        <v>1.0</v>
      </c>
      <c r="X325" s="24">
        <f>IFERROR(__xludf.DUMMYFUNCTION("""COMPUTED_VALUE"""),25.0)</f>
        <v>25</v>
      </c>
      <c r="Y325" s="21"/>
      <c r="Z325" s="24"/>
    </row>
    <row r="326">
      <c r="A326" s="21" t="s">
        <v>672</v>
      </c>
      <c r="B326" s="21" t="s">
        <v>673</v>
      </c>
      <c r="C326" s="22">
        <v>45030.0</v>
      </c>
      <c r="D326" s="22" t="str">
        <f t="shared" si="1"/>
        <v>04.2023</v>
      </c>
      <c r="E326" s="22">
        <v>45042.0</v>
      </c>
      <c r="F326" s="21" t="s">
        <v>29</v>
      </c>
      <c r="G326" s="23">
        <v>2.3</v>
      </c>
      <c r="H326" s="24">
        <v>87.0</v>
      </c>
      <c r="I326" s="24">
        <v>1.0</v>
      </c>
      <c r="J326" s="24">
        <v>28.0</v>
      </c>
      <c r="K326" s="21" t="s">
        <v>15</v>
      </c>
      <c r="L326" s="21" t="s">
        <v>16</v>
      </c>
      <c r="M326" s="24">
        <v>1.0</v>
      </c>
      <c r="X326" s="24">
        <f>IFERROR(__xludf.DUMMYFUNCTION("""COMPUTED_VALUE"""),22.0)</f>
        <v>22</v>
      </c>
      <c r="Y326" s="21"/>
      <c r="Z326" s="24"/>
    </row>
    <row r="327">
      <c r="A327" s="21" t="s">
        <v>674</v>
      </c>
      <c r="B327" s="21" t="s">
        <v>675</v>
      </c>
      <c r="C327" s="22">
        <v>45270.0</v>
      </c>
      <c r="D327" s="22" t="str">
        <f t="shared" si="1"/>
        <v>12.2023</v>
      </c>
      <c r="E327" s="22">
        <v>45282.0</v>
      </c>
      <c r="F327" s="21" t="s">
        <v>29</v>
      </c>
      <c r="G327" s="23">
        <v>2.1</v>
      </c>
      <c r="H327" s="24">
        <v>88.0</v>
      </c>
      <c r="I327" s="24">
        <v>0.0</v>
      </c>
      <c r="J327" s="24">
        <v>53.0</v>
      </c>
      <c r="K327" s="21" t="s">
        <v>19</v>
      </c>
      <c r="L327" s="21" t="s">
        <v>26</v>
      </c>
      <c r="M327" s="24">
        <v>1.0</v>
      </c>
      <c r="X327" s="24">
        <f>IFERROR(__xludf.DUMMYFUNCTION("""COMPUTED_VALUE"""),35.0)</f>
        <v>35</v>
      </c>
      <c r="Y327" s="21"/>
      <c r="Z327" s="24"/>
    </row>
    <row r="328">
      <c r="A328" s="21" t="s">
        <v>676</v>
      </c>
      <c r="B328" s="21" t="s">
        <v>677</v>
      </c>
      <c r="C328" s="22">
        <v>44951.0</v>
      </c>
      <c r="D328" s="22" t="str">
        <f t="shared" si="1"/>
        <v>01.2023</v>
      </c>
      <c r="E328" s="22">
        <v>44963.0</v>
      </c>
      <c r="F328" s="21" t="s">
        <v>29</v>
      </c>
      <c r="G328" s="23">
        <v>4.7</v>
      </c>
      <c r="H328" s="24">
        <v>55.0</v>
      </c>
      <c r="I328" s="24">
        <v>0.0</v>
      </c>
      <c r="J328" s="24">
        <v>40.0</v>
      </c>
      <c r="K328" s="21" t="s">
        <v>19</v>
      </c>
      <c r="L328" s="21" t="s">
        <v>47</v>
      </c>
      <c r="M328" s="24">
        <v>1.0</v>
      </c>
      <c r="X328" s="24">
        <f>IFERROR(__xludf.DUMMYFUNCTION("""COMPUTED_VALUE"""),14.0)</f>
        <v>14</v>
      </c>
      <c r="Y328" s="21"/>
      <c r="Z328" s="24"/>
    </row>
    <row r="329">
      <c r="A329" s="21" t="s">
        <v>678</v>
      </c>
      <c r="B329" s="21" t="s">
        <v>679</v>
      </c>
      <c r="C329" s="22">
        <v>45162.0</v>
      </c>
      <c r="D329" s="22" t="str">
        <f t="shared" si="1"/>
        <v>08.2023</v>
      </c>
      <c r="E329" s="22">
        <v>45174.0</v>
      </c>
      <c r="F329" s="21" t="s">
        <v>38</v>
      </c>
      <c r="G329" s="23">
        <v>4.5</v>
      </c>
      <c r="H329" s="24">
        <v>95.0</v>
      </c>
      <c r="I329" s="24">
        <v>0.0</v>
      </c>
      <c r="J329" s="24">
        <v>37.0</v>
      </c>
      <c r="K329" s="21" t="s">
        <v>23</v>
      </c>
      <c r="L329" s="21" t="s">
        <v>47</v>
      </c>
      <c r="M329" s="24">
        <v>0.0</v>
      </c>
      <c r="X329" s="24">
        <f>IFERROR(__xludf.DUMMYFUNCTION("""COMPUTED_VALUE"""),12.0)</f>
        <v>12</v>
      </c>
      <c r="Y329" s="21"/>
      <c r="Z329" s="24"/>
    </row>
    <row r="330">
      <c r="A330" s="21" t="s">
        <v>680</v>
      </c>
      <c r="B330" s="21" t="s">
        <v>681</v>
      </c>
      <c r="C330" s="22">
        <v>44959.0</v>
      </c>
      <c r="D330" s="22" t="str">
        <f t="shared" si="1"/>
        <v>02.2023</v>
      </c>
      <c r="E330" s="22">
        <v>44971.0</v>
      </c>
      <c r="F330" s="21" t="s">
        <v>14</v>
      </c>
      <c r="G330" s="23">
        <v>0.8</v>
      </c>
      <c r="H330" s="24">
        <v>19.0</v>
      </c>
      <c r="I330" s="24">
        <v>1.0</v>
      </c>
      <c r="J330" s="24">
        <v>47.0</v>
      </c>
      <c r="K330" s="21" t="s">
        <v>23</v>
      </c>
      <c r="L330" s="21" t="s">
        <v>47</v>
      </c>
      <c r="M330" s="24">
        <v>1.0</v>
      </c>
      <c r="X330" s="24">
        <f>IFERROR(__xludf.DUMMYFUNCTION("""COMPUTED_VALUE"""),16.0)</f>
        <v>16</v>
      </c>
      <c r="Y330" s="21"/>
      <c r="Z330" s="24"/>
    </row>
    <row r="331">
      <c r="A331" s="21" t="s">
        <v>682</v>
      </c>
      <c r="B331" s="21" t="s">
        <v>683</v>
      </c>
      <c r="C331" s="22">
        <v>45169.0</v>
      </c>
      <c r="D331" s="22" t="str">
        <f t="shared" si="1"/>
        <v>08.2023</v>
      </c>
      <c r="E331" s="22">
        <v>45181.0</v>
      </c>
      <c r="F331" s="21" t="s">
        <v>14</v>
      </c>
      <c r="G331" s="23">
        <v>2.9</v>
      </c>
      <c r="H331" s="24">
        <v>15.0</v>
      </c>
      <c r="I331" s="24">
        <v>0.0</v>
      </c>
      <c r="J331" s="24">
        <v>16.0</v>
      </c>
      <c r="K331" s="21" t="s">
        <v>15</v>
      </c>
      <c r="L331" s="21" t="s">
        <v>47</v>
      </c>
      <c r="M331" s="24">
        <v>1.0</v>
      </c>
      <c r="X331" s="24">
        <f>IFERROR(__xludf.DUMMYFUNCTION("""COMPUTED_VALUE"""),18.0)</f>
        <v>18</v>
      </c>
      <c r="Y331" s="21"/>
      <c r="Z331" s="24"/>
    </row>
    <row r="332">
      <c r="A332" s="21" t="s">
        <v>684</v>
      </c>
      <c r="B332" s="21" t="s">
        <v>685</v>
      </c>
      <c r="C332" s="22">
        <v>45208.0</v>
      </c>
      <c r="D332" s="22" t="str">
        <f t="shared" si="1"/>
        <v>10.2023</v>
      </c>
      <c r="E332" s="22">
        <v>45220.0</v>
      </c>
      <c r="F332" s="21" t="s">
        <v>38</v>
      </c>
      <c r="G332" s="23">
        <v>2.0</v>
      </c>
      <c r="H332" s="24">
        <v>86.0</v>
      </c>
      <c r="I332" s="24">
        <v>0.0</v>
      </c>
      <c r="J332" s="24">
        <v>49.0</v>
      </c>
      <c r="K332" s="21" t="s">
        <v>19</v>
      </c>
      <c r="L332" s="21" t="s">
        <v>26</v>
      </c>
      <c r="M332" s="24">
        <v>1.0</v>
      </c>
      <c r="X332" s="24">
        <f>IFERROR(__xludf.DUMMYFUNCTION("""COMPUTED_VALUE"""),55.0)</f>
        <v>55</v>
      </c>
      <c r="Y332" s="21"/>
      <c r="Z332" s="24"/>
    </row>
    <row r="333">
      <c r="A333" s="21" t="s">
        <v>686</v>
      </c>
      <c r="B333" s="21" t="s">
        <v>687</v>
      </c>
      <c r="C333" s="22">
        <v>45256.0</v>
      </c>
      <c r="D333" s="22" t="str">
        <f t="shared" si="1"/>
        <v>11.2023</v>
      </c>
      <c r="E333" s="22">
        <v>45268.0</v>
      </c>
      <c r="F333" s="21" t="s">
        <v>22</v>
      </c>
      <c r="G333" s="23">
        <v>1.4</v>
      </c>
      <c r="H333" s="24">
        <v>99.0</v>
      </c>
      <c r="I333" s="24">
        <v>0.0</v>
      </c>
      <c r="J333" s="24">
        <v>41.0</v>
      </c>
      <c r="K333" s="21" t="s">
        <v>32</v>
      </c>
      <c r="L333" s="21" t="s">
        <v>16</v>
      </c>
      <c r="M333" s="24">
        <v>1.0</v>
      </c>
      <c r="X333" s="24">
        <f>IFERROR(__xludf.DUMMYFUNCTION("""COMPUTED_VALUE"""),38.0)</f>
        <v>38</v>
      </c>
      <c r="Y333" s="21"/>
      <c r="Z333" s="24"/>
    </row>
    <row r="334">
      <c r="A334" s="21" t="s">
        <v>688</v>
      </c>
      <c r="B334" s="21" t="s">
        <v>689</v>
      </c>
      <c r="C334" s="22">
        <v>45284.0</v>
      </c>
      <c r="D334" s="22" t="str">
        <f t="shared" si="1"/>
        <v>12.2023</v>
      </c>
      <c r="E334" s="22">
        <v>45296.0</v>
      </c>
      <c r="F334" s="21" t="s">
        <v>22</v>
      </c>
      <c r="G334" s="23">
        <v>2.6</v>
      </c>
      <c r="H334" s="24">
        <v>70.0</v>
      </c>
      <c r="I334" s="24">
        <v>1.0</v>
      </c>
      <c r="J334" s="24">
        <v>50.0</v>
      </c>
      <c r="K334" s="21" t="s">
        <v>35</v>
      </c>
      <c r="L334" s="21" t="s">
        <v>16</v>
      </c>
      <c r="M334" s="24">
        <v>1.0</v>
      </c>
      <c r="X334" s="24">
        <f>IFERROR(__xludf.DUMMYFUNCTION("""COMPUTED_VALUE"""),26.0)</f>
        <v>26</v>
      </c>
      <c r="Y334" s="21"/>
      <c r="Z334" s="24"/>
    </row>
    <row r="335">
      <c r="A335" s="21" t="s">
        <v>690</v>
      </c>
      <c r="B335" s="21" t="s">
        <v>691</v>
      </c>
      <c r="C335" s="22">
        <v>45291.0</v>
      </c>
      <c r="D335" s="22" t="str">
        <f t="shared" si="1"/>
        <v>12.2023</v>
      </c>
      <c r="E335" s="22">
        <v>45303.0</v>
      </c>
      <c r="F335" s="21" t="s">
        <v>29</v>
      </c>
      <c r="G335" s="23">
        <v>0.7</v>
      </c>
      <c r="H335" s="24">
        <v>9.0</v>
      </c>
      <c r="I335" s="24">
        <v>1.0</v>
      </c>
      <c r="J335" s="24">
        <v>17.0</v>
      </c>
      <c r="K335" s="21" t="s">
        <v>35</v>
      </c>
      <c r="L335" s="21" t="s">
        <v>47</v>
      </c>
      <c r="M335" s="24">
        <v>1.0</v>
      </c>
      <c r="X335" s="24">
        <f>IFERROR(__xludf.DUMMYFUNCTION("""COMPUTED_VALUE"""),55.0)</f>
        <v>55</v>
      </c>
      <c r="Y335" s="21"/>
      <c r="Z335" s="24"/>
    </row>
    <row r="336">
      <c r="A336" s="21" t="s">
        <v>692</v>
      </c>
      <c r="B336" s="21" t="s">
        <v>693</v>
      </c>
      <c r="C336" s="22">
        <v>45072.0</v>
      </c>
      <c r="D336" s="22" t="str">
        <f t="shared" si="1"/>
        <v>05.2023</v>
      </c>
      <c r="E336" s="22">
        <v>45084.0</v>
      </c>
      <c r="F336" s="21" t="s">
        <v>22</v>
      </c>
      <c r="G336" s="23">
        <v>3.8</v>
      </c>
      <c r="H336" s="24">
        <v>41.0</v>
      </c>
      <c r="I336" s="24">
        <v>1.0</v>
      </c>
      <c r="J336" s="24">
        <v>38.0</v>
      </c>
      <c r="K336" s="21" t="s">
        <v>19</v>
      </c>
      <c r="L336" s="21" t="s">
        <v>16</v>
      </c>
      <c r="M336" s="24">
        <v>1.0</v>
      </c>
      <c r="X336" s="24">
        <f>IFERROR(__xludf.DUMMYFUNCTION("""COMPUTED_VALUE"""),34.0)</f>
        <v>34</v>
      </c>
      <c r="Y336" s="21"/>
      <c r="Z336" s="24"/>
    </row>
    <row r="337">
      <c r="A337" s="21" t="s">
        <v>694</v>
      </c>
      <c r="B337" s="21" t="s">
        <v>695</v>
      </c>
      <c r="C337" s="22">
        <v>45078.0</v>
      </c>
      <c r="D337" s="22" t="str">
        <f t="shared" si="1"/>
        <v>06.2023</v>
      </c>
      <c r="E337" s="22">
        <v>45090.0</v>
      </c>
      <c r="F337" s="21" t="s">
        <v>29</v>
      </c>
      <c r="G337" s="23">
        <v>2.2</v>
      </c>
      <c r="H337" s="24">
        <v>5.0</v>
      </c>
      <c r="I337" s="24">
        <v>0.0</v>
      </c>
      <c r="J337" s="24">
        <v>24.0</v>
      </c>
      <c r="K337" s="21" t="s">
        <v>15</v>
      </c>
      <c r="L337" s="21" t="s">
        <v>16</v>
      </c>
      <c r="M337" s="24">
        <v>0.0</v>
      </c>
      <c r="X337" s="24">
        <f>IFERROR(__xludf.DUMMYFUNCTION("""COMPUTED_VALUE"""),33.0)</f>
        <v>33</v>
      </c>
      <c r="Y337" s="21"/>
      <c r="Z337" s="24"/>
    </row>
    <row r="338">
      <c r="A338" s="21" t="s">
        <v>696</v>
      </c>
      <c r="B338" s="21" t="s">
        <v>697</v>
      </c>
      <c r="C338" s="22">
        <v>45218.0</v>
      </c>
      <c r="D338" s="22" t="str">
        <f t="shared" si="1"/>
        <v>10.2023</v>
      </c>
      <c r="E338" s="22">
        <v>45230.0</v>
      </c>
      <c r="F338" s="21" t="s">
        <v>22</v>
      </c>
      <c r="G338" s="23">
        <v>2.7</v>
      </c>
      <c r="H338" s="24">
        <v>11.0</v>
      </c>
      <c r="I338" s="24">
        <v>0.0</v>
      </c>
      <c r="J338" s="24">
        <v>35.0</v>
      </c>
      <c r="K338" s="21" t="s">
        <v>32</v>
      </c>
      <c r="L338" s="21" t="s">
        <v>47</v>
      </c>
      <c r="M338" s="24">
        <v>1.0</v>
      </c>
      <c r="X338" s="24">
        <f>IFERROR(__xludf.DUMMYFUNCTION("""COMPUTED_VALUE"""),41.0)</f>
        <v>41</v>
      </c>
      <c r="Y338" s="21"/>
      <c r="Z338" s="24"/>
    </row>
    <row r="339">
      <c r="A339" s="21" t="s">
        <v>698</v>
      </c>
      <c r="B339" s="21" t="s">
        <v>699</v>
      </c>
      <c r="C339" s="22">
        <v>45218.0</v>
      </c>
      <c r="D339" s="22" t="str">
        <f t="shared" si="1"/>
        <v>10.2023</v>
      </c>
      <c r="E339" s="22">
        <v>45230.0</v>
      </c>
      <c r="F339" s="21" t="s">
        <v>29</v>
      </c>
      <c r="G339" s="23">
        <v>0.9</v>
      </c>
      <c r="H339" s="24">
        <v>96.0</v>
      </c>
      <c r="I339" s="24">
        <v>0.0</v>
      </c>
      <c r="J339" s="24">
        <v>51.0</v>
      </c>
      <c r="K339" s="21" t="s">
        <v>32</v>
      </c>
      <c r="L339" s="21" t="s">
        <v>26</v>
      </c>
      <c r="M339" s="24">
        <v>1.0</v>
      </c>
      <c r="X339" s="24"/>
      <c r="Y339" s="21"/>
      <c r="Z339" s="24"/>
    </row>
    <row r="340">
      <c r="A340" s="21" t="s">
        <v>700</v>
      </c>
      <c r="B340" s="21" t="s">
        <v>701</v>
      </c>
      <c r="C340" s="22">
        <v>45089.0</v>
      </c>
      <c r="D340" s="22" t="str">
        <f t="shared" si="1"/>
        <v>06.2023</v>
      </c>
      <c r="E340" s="22">
        <v>45101.0</v>
      </c>
      <c r="F340" s="21" t="s">
        <v>29</v>
      </c>
      <c r="G340" s="23">
        <v>0.0</v>
      </c>
      <c r="H340" s="24">
        <v>59.0</v>
      </c>
      <c r="I340" s="24">
        <v>0.0</v>
      </c>
      <c r="J340" s="24">
        <v>22.0</v>
      </c>
      <c r="K340" s="21" t="s">
        <v>32</v>
      </c>
      <c r="L340" s="21" t="s">
        <v>47</v>
      </c>
      <c r="M340" s="24">
        <v>1.0</v>
      </c>
      <c r="X340" s="24"/>
      <c r="Y340" s="21"/>
      <c r="Z340" s="24"/>
    </row>
    <row r="341">
      <c r="A341" s="21" t="s">
        <v>702</v>
      </c>
      <c r="B341" s="21" t="s">
        <v>703</v>
      </c>
      <c r="C341" s="22">
        <v>45011.0</v>
      </c>
      <c r="D341" s="22" t="str">
        <f t="shared" si="1"/>
        <v>03.2023</v>
      </c>
      <c r="E341" s="22">
        <v>45023.0</v>
      </c>
      <c r="F341" s="21" t="s">
        <v>29</v>
      </c>
      <c r="G341" s="23">
        <v>0.3</v>
      </c>
      <c r="H341" s="24">
        <v>27.0</v>
      </c>
      <c r="I341" s="24">
        <v>1.0</v>
      </c>
      <c r="J341" s="24">
        <v>32.0</v>
      </c>
      <c r="K341" s="21" t="s">
        <v>23</v>
      </c>
      <c r="L341" s="21" t="s">
        <v>47</v>
      </c>
      <c r="M341" s="24">
        <v>1.0</v>
      </c>
      <c r="X341" s="24"/>
      <c r="Y341" s="21"/>
      <c r="Z341" s="24"/>
    </row>
    <row r="342">
      <c r="A342" s="21" t="s">
        <v>704</v>
      </c>
      <c r="B342" s="21" t="s">
        <v>705</v>
      </c>
      <c r="C342" s="22">
        <v>45203.0</v>
      </c>
      <c r="D342" s="22" t="str">
        <f t="shared" si="1"/>
        <v>10.2023</v>
      </c>
      <c r="E342" s="22">
        <v>45215.0</v>
      </c>
      <c r="F342" s="21" t="s">
        <v>29</v>
      </c>
      <c r="G342" s="23">
        <v>5.0</v>
      </c>
      <c r="H342" s="24">
        <v>20.0</v>
      </c>
      <c r="I342" s="24">
        <v>0.0</v>
      </c>
      <c r="J342" s="24">
        <v>19.0</v>
      </c>
      <c r="K342" s="21" t="s">
        <v>23</v>
      </c>
      <c r="L342" s="21" t="s">
        <v>16</v>
      </c>
      <c r="M342" s="24">
        <v>1.0</v>
      </c>
      <c r="X342" s="24"/>
      <c r="Y342" s="21"/>
      <c r="Z342" s="24"/>
    </row>
    <row r="343">
      <c r="A343" s="21" t="s">
        <v>706</v>
      </c>
      <c r="B343" s="21" t="s">
        <v>707</v>
      </c>
      <c r="C343" s="22">
        <v>45189.0</v>
      </c>
      <c r="D343" s="22" t="str">
        <f t="shared" si="1"/>
        <v>09.2023</v>
      </c>
      <c r="E343" s="22">
        <v>45201.0</v>
      </c>
      <c r="F343" s="21" t="s">
        <v>14</v>
      </c>
      <c r="G343" s="23">
        <v>4.0</v>
      </c>
      <c r="H343" s="24">
        <v>30.0</v>
      </c>
      <c r="I343" s="24">
        <v>1.0</v>
      </c>
      <c r="J343" s="24">
        <v>56.0</v>
      </c>
      <c r="K343" s="21" t="s">
        <v>19</v>
      </c>
      <c r="L343" s="21" t="s">
        <v>16</v>
      </c>
      <c r="M343" s="24">
        <v>0.0</v>
      </c>
      <c r="X343" s="24"/>
      <c r="Y343" s="21"/>
      <c r="Z343" s="24"/>
    </row>
    <row r="344">
      <c r="A344" s="21" t="s">
        <v>708</v>
      </c>
      <c r="B344" s="21" t="s">
        <v>709</v>
      </c>
      <c r="C344" s="22">
        <v>45183.0</v>
      </c>
      <c r="D344" s="22" t="str">
        <f t="shared" si="1"/>
        <v>09.2023</v>
      </c>
      <c r="E344" s="22">
        <v>45195.0</v>
      </c>
      <c r="F344" s="21" t="s">
        <v>29</v>
      </c>
      <c r="G344" s="23">
        <v>2.5</v>
      </c>
      <c r="H344" s="24">
        <v>13.0</v>
      </c>
      <c r="I344" s="24">
        <v>0.0</v>
      </c>
      <c r="J344" s="24">
        <v>18.0</v>
      </c>
      <c r="K344" s="21" t="s">
        <v>35</v>
      </c>
      <c r="L344" s="21" t="s">
        <v>26</v>
      </c>
      <c r="M344" s="24">
        <v>0.0</v>
      </c>
      <c r="X344" s="24"/>
      <c r="Y344" s="21"/>
      <c r="Z344" s="24"/>
    </row>
    <row r="345">
      <c r="A345" s="21" t="s">
        <v>710</v>
      </c>
      <c r="B345" s="21" t="s">
        <v>711</v>
      </c>
      <c r="C345" s="22">
        <v>45244.0</v>
      </c>
      <c r="D345" s="22" t="str">
        <f t="shared" si="1"/>
        <v>11.2023</v>
      </c>
      <c r="E345" s="22">
        <v>45256.0</v>
      </c>
      <c r="F345" s="21" t="s">
        <v>29</v>
      </c>
      <c r="G345" s="23">
        <v>4.1</v>
      </c>
      <c r="H345" s="24">
        <v>54.0</v>
      </c>
      <c r="I345" s="24">
        <v>0.0</v>
      </c>
      <c r="J345" s="24">
        <v>52.0</v>
      </c>
      <c r="K345" s="21" t="s">
        <v>32</v>
      </c>
      <c r="L345" s="21" t="s">
        <v>26</v>
      </c>
      <c r="M345" s="24">
        <v>1.0</v>
      </c>
      <c r="X345" s="24"/>
      <c r="Y345" s="21"/>
      <c r="Z345" s="24"/>
    </row>
    <row r="346">
      <c r="A346" s="21" t="s">
        <v>712</v>
      </c>
      <c r="B346" s="21" t="s">
        <v>713</v>
      </c>
      <c r="C346" s="22">
        <v>45163.0</v>
      </c>
      <c r="D346" s="22" t="str">
        <f t="shared" si="1"/>
        <v>08.2023</v>
      </c>
      <c r="E346" s="22">
        <v>45175.0</v>
      </c>
      <c r="F346" s="21" t="s">
        <v>38</v>
      </c>
      <c r="G346" s="23">
        <v>1.1</v>
      </c>
      <c r="H346" s="24">
        <v>58.0</v>
      </c>
      <c r="I346" s="24">
        <v>1.0</v>
      </c>
      <c r="J346" s="24">
        <v>43.0</v>
      </c>
      <c r="K346" s="21" t="s">
        <v>23</v>
      </c>
      <c r="L346" s="21" t="s">
        <v>26</v>
      </c>
      <c r="M346" s="24">
        <v>1.0</v>
      </c>
      <c r="X346" s="24"/>
      <c r="Y346" s="21"/>
      <c r="Z346" s="24"/>
    </row>
    <row r="347">
      <c r="A347" s="21" t="s">
        <v>714</v>
      </c>
      <c r="B347" s="21" t="s">
        <v>715</v>
      </c>
      <c r="C347" s="22">
        <v>45016.0</v>
      </c>
      <c r="D347" s="22" t="str">
        <f t="shared" si="1"/>
        <v>03.2023</v>
      </c>
      <c r="E347" s="22">
        <v>45028.0</v>
      </c>
      <c r="F347" s="21" t="s">
        <v>29</v>
      </c>
      <c r="G347" s="23">
        <v>3.7</v>
      </c>
      <c r="H347" s="24">
        <v>63.0</v>
      </c>
      <c r="I347" s="24">
        <v>1.0</v>
      </c>
      <c r="J347" s="24">
        <v>26.0</v>
      </c>
      <c r="K347" s="21" t="s">
        <v>19</v>
      </c>
      <c r="L347" s="21" t="s">
        <v>26</v>
      </c>
      <c r="M347" s="24">
        <v>0.0</v>
      </c>
      <c r="X347" s="24"/>
      <c r="Y347" s="21"/>
      <c r="Z347" s="24"/>
    </row>
    <row r="348">
      <c r="A348" s="21" t="s">
        <v>716</v>
      </c>
      <c r="B348" s="21" t="s">
        <v>717</v>
      </c>
      <c r="C348" s="22">
        <v>45285.0</v>
      </c>
      <c r="D348" s="22" t="str">
        <f t="shared" si="1"/>
        <v>12.2023</v>
      </c>
      <c r="E348" s="22">
        <v>45297.0</v>
      </c>
      <c r="F348" s="21" t="s">
        <v>38</v>
      </c>
      <c r="G348" s="23">
        <v>3.0</v>
      </c>
      <c r="H348" s="24">
        <v>60.0</v>
      </c>
      <c r="I348" s="24">
        <v>1.0</v>
      </c>
      <c r="J348" s="24">
        <v>15.0</v>
      </c>
      <c r="K348" s="21" t="s">
        <v>23</v>
      </c>
      <c r="L348" s="21" t="s">
        <v>47</v>
      </c>
      <c r="M348" s="24">
        <v>1.0</v>
      </c>
      <c r="X348" s="24"/>
      <c r="Y348" s="21"/>
      <c r="Z348" s="24"/>
    </row>
    <row r="349">
      <c r="A349" s="21" t="s">
        <v>718</v>
      </c>
      <c r="B349" s="21" t="s">
        <v>719</v>
      </c>
      <c r="C349" s="22">
        <v>44998.0</v>
      </c>
      <c r="D349" s="22" t="str">
        <f t="shared" si="1"/>
        <v>03.2023</v>
      </c>
      <c r="E349" s="22">
        <v>45010.0</v>
      </c>
      <c r="F349" s="21" t="s">
        <v>14</v>
      </c>
      <c r="G349" s="23">
        <v>0.2</v>
      </c>
      <c r="H349" s="24">
        <v>52.0</v>
      </c>
      <c r="I349" s="24">
        <v>0.0</v>
      </c>
      <c r="J349" s="24">
        <v>27.0</v>
      </c>
      <c r="K349" s="21" t="s">
        <v>32</v>
      </c>
      <c r="L349" s="21" t="s">
        <v>26</v>
      </c>
      <c r="M349" s="24">
        <v>1.0</v>
      </c>
      <c r="X349" s="24"/>
      <c r="Y349" s="21"/>
      <c r="Z349" s="24"/>
    </row>
    <row r="350">
      <c r="A350" s="21" t="s">
        <v>720</v>
      </c>
      <c r="B350" s="21" t="s">
        <v>721</v>
      </c>
      <c r="C350" s="22">
        <v>45189.0</v>
      </c>
      <c r="D350" s="22" t="str">
        <f t="shared" si="1"/>
        <v>09.2023</v>
      </c>
      <c r="E350" s="22">
        <v>45201.0</v>
      </c>
      <c r="F350" s="21" t="s">
        <v>22</v>
      </c>
      <c r="G350" s="23">
        <v>4.3</v>
      </c>
      <c r="H350" s="24">
        <v>90.0</v>
      </c>
      <c r="I350" s="24">
        <v>0.0</v>
      </c>
      <c r="J350" s="24">
        <v>21.0</v>
      </c>
      <c r="K350" s="21" t="s">
        <v>19</v>
      </c>
      <c r="L350" s="21" t="s">
        <v>26</v>
      </c>
      <c r="M350" s="24">
        <v>1.0</v>
      </c>
      <c r="X350" s="24"/>
      <c r="Y350" s="21"/>
      <c r="Z350" s="24"/>
    </row>
    <row r="351">
      <c r="A351" s="21" t="s">
        <v>722</v>
      </c>
      <c r="B351" s="21" t="s">
        <v>723</v>
      </c>
      <c r="C351" s="22">
        <v>45148.0</v>
      </c>
      <c r="D351" s="22" t="str">
        <f t="shared" si="1"/>
        <v>08.2023</v>
      </c>
      <c r="E351" s="22">
        <v>45160.0</v>
      </c>
      <c r="F351" s="21" t="s">
        <v>14</v>
      </c>
      <c r="G351" s="23">
        <v>2.8</v>
      </c>
      <c r="H351" s="24">
        <v>93.0</v>
      </c>
      <c r="I351" s="24">
        <v>0.0</v>
      </c>
      <c r="J351" s="24">
        <v>14.0</v>
      </c>
      <c r="K351" s="21" t="s">
        <v>15</v>
      </c>
      <c r="L351" s="21" t="s">
        <v>26</v>
      </c>
      <c r="M351" s="24">
        <v>1.0</v>
      </c>
      <c r="X351" s="24"/>
      <c r="Y351" s="21"/>
      <c r="Z351" s="24"/>
    </row>
    <row r="352">
      <c r="A352" s="21" t="s">
        <v>724</v>
      </c>
      <c r="B352" s="21" t="s">
        <v>725</v>
      </c>
      <c r="C352" s="22">
        <v>45084.0</v>
      </c>
      <c r="D352" s="22" t="str">
        <f t="shared" si="1"/>
        <v>06.2023</v>
      </c>
      <c r="E352" s="22">
        <v>45096.0</v>
      </c>
      <c r="F352" s="21" t="s">
        <v>14</v>
      </c>
      <c r="G352" s="23">
        <v>3.1</v>
      </c>
      <c r="H352" s="24">
        <v>80.0</v>
      </c>
      <c r="I352" s="24">
        <v>1.0</v>
      </c>
      <c r="J352" s="24">
        <v>30.0</v>
      </c>
      <c r="K352" s="21" t="s">
        <v>32</v>
      </c>
      <c r="L352" s="21" t="s">
        <v>26</v>
      </c>
      <c r="M352" s="24">
        <v>1.0</v>
      </c>
      <c r="X352" s="24"/>
      <c r="Y352" s="21"/>
      <c r="Z352" s="24"/>
    </row>
    <row r="353">
      <c r="A353" s="21" t="s">
        <v>726</v>
      </c>
      <c r="B353" s="21" t="s">
        <v>727</v>
      </c>
      <c r="C353" s="22">
        <v>45030.0</v>
      </c>
      <c r="D353" s="22" t="str">
        <f t="shared" si="1"/>
        <v>04.2023</v>
      </c>
      <c r="E353" s="22">
        <v>45042.0</v>
      </c>
      <c r="F353" s="21" t="s">
        <v>38</v>
      </c>
      <c r="G353" s="23">
        <v>3.6</v>
      </c>
      <c r="H353" s="24">
        <v>33.0</v>
      </c>
      <c r="I353" s="24">
        <v>0.0</v>
      </c>
      <c r="J353" s="24">
        <v>42.0</v>
      </c>
      <c r="K353" s="21" t="s">
        <v>19</v>
      </c>
      <c r="L353" s="21" t="s">
        <v>26</v>
      </c>
      <c r="M353" s="24">
        <v>1.0</v>
      </c>
      <c r="X353" s="24"/>
      <c r="Y353" s="21"/>
      <c r="Z353" s="24"/>
    </row>
    <row r="354">
      <c r="A354" s="21" t="s">
        <v>728</v>
      </c>
      <c r="B354" s="21" t="s">
        <v>729</v>
      </c>
      <c r="C354" s="22">
        <v>44946.0</v>
      </c>
      <c r="D354" s="22" t="str">
        <f t="shared" si="1"/>
        <v>01.2023</v>
      </c>
      <c r="E354" s="22">
        <v>44958.0</v>
      </c>
      <c r="F354" s="21" t="s">
        <v>22</v>
      </c>
      <c r="G354" s="23">
        <v>3.5</v>
      </c>
      <c r="H354" s="24">
        <v>49.0</v>
      </c>
      <c r="I354" s="24">
        <v>1.0</v>
      </c>
      <c r="J354" s="24">
        <v>34.0</v>
      </c>
      <c r="K354" s="21" t="s">
        <v>19</v>
      </c>
      <c r="L354" s="21" t="s">
        <v>16</v>
      </c>
      <c r="M354" s="24">
        <v>1.0</v>
      </c>
      <c r="X354" s="24"/>
      <c r="Y354" s="21"/>
      <c r="Z354" s="24"/>
    </row>
    <row r="355">
      <c r="A355" s="21" t="s">
        <v>730</v>
      </c>
      <c r="B355" s="21" t="s">
        <v>731</v>
      </c>
      <c r="C355" s="22">
        <v>44974.0</v>
      </c>
      <c r="D355" s="22" t="str">
        <f t="shared" si="1"/>
        <v>02.2023</v>
      </c>
      <c r="E355" s="22">
        <v>44986.0</v>
      </c>
      <c r="F355" s="21" t="s">
        <v>38</v>
      </c>
      <c r="G355" s="23">
        <v>1.5</v>
      </c>
      <c r="H355" s="24">
        <v>64.0</v>
      </c>
      <c r="I355" s="24">
        <v>1.0</v>
      </c>
      <c r="J355" s="24">
        <v>39.0</v>
      </c>
      <c r="K355" s="21" t="s">
        <v>32</v>
      </c>
      <c r="L355" s="21" t="s">
        <v>47</v>
      </c>
      <c r="M355" s="24">
        <v>0.0</v>
      </c>
      <c r="X355" s="24"/>
      <c r="Y355" s="21"/>
      <c r="Z355" s="24"/>
    </row>
    <row r="356">
      <c r="A356" s="21" t="s">
        <v>732</v>
      </c>
      <c r="B356" s="21" t="s">
        <v>733</v>
      </c>
      <c r="C356" s="22">
        <v>44994.0</v>
      </c>
      <c r="D356" s="22" t="str">
        <f t="shared" si="1"/>
        <v>03.2023</v>
      </c>
      <c r="E356" s="22">
        <v>45006.0</v>
      </c>
      <c r="F356" s="21" t="s">
        <v>14</v>
      </c>
      <c r="G356" s="23">
        <v>0.5</v>
      </c>
      <c r="H356" s="24">
        <v>16.0</v>
      </c>
      <c r="I356" s="24">
        <v>1.0</v>
      </c>
      <c r="J356" s="24">
        <v>23.0</v>
      </c>
      <c r="K356" s="21" t="s">
        <v>35</v>
      </c>
      <c r="L356" s="21" t="s">
        <v>26</v>
      </c>
      <c r="M356" s="24">
        <v>0.0</v>
      </c>
      <c r="X356" s="24"/>
      <c r="Y356" s="21"/>
      <c r="Z356" s="24"/>
    </row>
    <row r="357">
      <c r="A357" s="21" t="s">
        <v>734</v>
      </c>
      <c r="B357" s="21" t="s">
        <v>735</v>
      </c>
      <c r="C357" s="22">
        <v>45062.0</v>
      </c>
      <c r="D357" s="22" t="str">
        <f t="shared" si="1"/>
        <v>05.2023</v>
      </c>
      <c r="E357" s="22">
        <v>45074.0</v>
      </c>
      <c r="F357" s="21" t="s">
        <v>38</v>
      </c>
      <c r="G357" s="23">
        <v>1.9</v>
      </c>
      <c r="H357" s="24">
        <v>18.0</v>
      </c>
      <c r="I357" s="24">
        <v>0.0</v>
      </c>
      <c r="J357" s="24">
        <v>54.0</v>
      </c>
      <c r="K357" s="21" t="s">
        <v>32</v>
      </c>
      <c r="L357" s="21" t="s">
        <v>16</v>
      </c>
      <c r="M357" s="24">
        <v>0.0</v>
      </c>
      <c r="X357" s="24"/>
      <c r="Y357" s="21"/>
      <c r="Z357" s="24"/>
    </row>
    <row r="358">
      <c r="A358" s="21" t="s">
        <v>736</v>
      </c>
      <c r="B358" s="21" t="s">
        <v>737</v>
      </c>
      <c r="C358" s="22">
        <v>44983.0</v>
      </c>
      <c r="D358" s="22" t="str">
        <f t="shared" si="1"/>
        <v>02.2023</v>
      </c>
      <c r="E358" s="22">
        <v>44995.0</v>
      </c>
      <c r="F358" s="21" t="s">
        <v>14</v>
      </c>
      <c r="G358" s="23">
        <v>4.4</v>
      </c>
      <c r="H358" s="24">
        <v>69.0</v>
      </c>
      <c r="I358" s="24">
        <v>1.0</v>
      </c>
      <c r="J358" s="24">
        <v>12.0</v>
      </c>
      <c r="K358" s="21" t="s">
        <v>35</v>
      </c>
      <c r="L358" s="21" t="s">
        <v>16</v>
      </c>
      <c r="M358" s="24">
        <v>1.0</v>
      </c>
      <c r="X358" s="24"/>
      <c r="Y358" s="21"/>
      <c r="Z358" s="24"/>
    </row>
    <row r="359">
      <c r="A359" s="21" t="s">
        <v>738</v>
      </c>
      <c r="B359" s="21" t="s">
        <v>739</v>
      </c>
      <c r="C359" s="22">
        <v>45020.0</v>
      </c>
      <c r="D359" s="22" t="str">
        <f t="shared" si="1"/>
        <v>04.2023</v>
      </c>
      <c r="E359" s="22">
        <v>45032.0</v>
      </c>
      <c r="F359" s="21" t="s">
        <v>29</v>
      </c>
      <c r="G359" s="23">
        <v>3.4</v>
      </c>
      <c r="H359" s="24">
        <v>40.0</v>
      </c>
      <c r="I359" s="24">
        <v>0.0</v>
      </c>
      <c r="J359" s="24">
        <v>45.0</v>
      </c>
      <c r="K359" s="21" t="s">
        <v>35</v>
      </c>
      <c r="L359" s="21" t="s">
        <v>47</v>
      </c>
      <c r="M359" s="24">
        <v>1.0</v>
      </c>
      <c r="X359" s="24"/>
      <c r="Y359" s="21"/>
      <c r="Z359" s="24"/>
    </row>
    <row r="360">
      <c r="A360" s="21" t="s">
        <v>740</v>
      </c>
      <c r="B360" s="21" t="s">
        <v>741</v>
      </c>
      <c r="C360" s="22">
        <v>45139.0</v>
      </c>
      <c r="D360" s="22" t="str">
        <f t="shared" si="1"/>
        <v>08.2023</v>
      </c>
      <c r="E360" s="22">
        <v>45151.0</v>
      </c>
      <c r="F360" s="21" t="s">
        <v>22</v>
      </c>
      <c r="G360" s="23">
        <v>1.1</v>
      </c>
      <c r="H360" s="24">
        <v>38.0</v>
      </c>
      <c r="I360" s="24">
        <v>1.0</v>
      </c>
      <c r="J360" s="24">
        <v>55.0</v>
      </c>
      <c r="K360" s="21" t="s">
        <v>32</v>
      </c>
      <c r="L360" s="21" t="s">
        <v>16</v>
      </c>
      <c r="M360" s="24">
        <v>0.0</v>
      </c>
      <c r="X360" s="24"/>
      <c r="Y360" s="21"/>
      <c r="Z360" s="24"/>
    </row>
    <row r="361">
      <c r="A361" s="21" t="s">
        <v>742</v>
      </c>
      <c r="B361" s="21" t="s">
        <v>743</v>
      </c>
      <c r="C361" s="22">
        <v>45255.0</v>
      </c>
      <c r="D361" s="22" t="str">
        <f t="shared" si="1"/>
        <v>11.2023</v>
      </c>
      <c r="E361" s="22">
        <v>45267.0</v>
      </c>
      <c r="F361" s="21" t="s">
        <v>29</v>
      </c>
      <c r="G361" s="23">
        <v>1.7</v>
      </c>
      <c r="H361" s="24">
        <v>25.0</v>
      </c>
      <c r="I361" s="24">
        <v>1.0</v>
      </c>
      <c r="J361" s="24">
        <v>33.0</v>
      </c>
      <c r="K361" s="21" t="s">
        <v>35</v>
      </c>
      <c r="L361" s="21" t="s">
        <v>16</v>
      </c>
      <c r="M361" s="24">
        <v>1.0</v>
      </c>
      <c r="X361" s="24"/>
      <c r="Y361" s="21"/>
      <c r="Z361" s="24"/>
    </row>
    <row r="362">
      <c r="A362" s="21" t="s">
        <v>744</v>
      </c>
      <c r="B362" s="21" t="s">
        <v>745</v>
      </c>
      <c r="C362" s="22">
        <v>45073.0</v>
      </c>
      <c r="D362" s="22" t="str">
        <f t="shared" si="1"/>
        <v>05.2023</v>
      </c>
      <c r="E362" s="22">
        <v>45085.0</v>
      </c>
      <c r="F362" s="21" t="s">
        <v>38</v>
      </c>
      <c r="G362" s="23">
        <v>1.4</v>
      </c>
      <c r="H362" s="24">
        <v>94.0</v>
      </c>
      <c r="I362" s="24">
        <v>0.0</v>
      </c>
      <c r="J362" s="24">
        <v>14.0</v>
      </c>
      <c r="K362" s="21" t="s">
        <v>32</v>
      </c>
      <c r="L362" s="21" t="s">
        <v>26</v>
      </c>
      <c r="M362" s="24">
        <v>1.0</v>
      </c>
      <c r="X362" s="24"/>
      <c r="Y362" s="21"/>
      <c r="Z362" s="24"/>
    </row>
    <row r="363">
      <c r="A363" s="21" t="s">
        <v>746</v>
      </c>
      <c r="B363" s="21" t="s">
        <v>747</v>
      </c>
      <c r="C363" s="22">
        <v>45077.0</v>
      </c>
      <c r="D363" s="22" t="str">
        <f t="shared" si="1"/>
        <v>05.2023</v>
      </c>
      <c r="E363" s="22">
        <v>45089.0</v>
      </c>
      <c r="F363" s="21" t="s">
        <v>22</v>
      </c>
      <c r="G363" s="23">
        <v>1.0</v>
      </c>
      <c r="H363" s="24">
        <v>89.0</v>
      </c>
      <c r="I363" s="24">
        <v>0.0</v>
      </c>
      <c r="J363" s="24">
        <v>33.0</v>
      </c>
      <c r="K363" s="21" t="s">
        <v>32</v>
      </c>
      <c r="L363" s="21" t="s">
        <v>16</v>
      </c>
      <c r="M363" s="24">
        <v>1.0</v>
      </c>
      <c r="X363" s="24"/>
      <c r="Y363" s="21"/>
      <c r="Z363" s="24"/>
    </row>
    <row r="364">
      <c r="A364" s="21" t="s">
        <v>748</v>
      </c>
      <c r="B364" s="21" t="s">
        <v>749</v>
      </c>
      <c r="C364" s="22">
        <v>44973.0</v>
      </c>
      <c r="D364" s="22" t="str">
        <f t="shared" si="1"/>
        <v>02.2023</v>
      </c>
      <c r="E364" s="22">
        <v>44985.0</v>
      </c>
      <c r="F364" s="21" t="s">
        <v>14</v>
      </c>
      <c r="G364" s="23">
        <v>3.2</v>
      </c>
      <c r="H364" s="24">
        <v>73.0</v>
      </c>
      <c r="I364" s="24">
        <v>0.0</v>
      </c>
      <c r="J364" s="24">
        <v>17.0</v>
      </c>
      <c r="K364" s="21" t="s">
        <v>19</v>
      </c>
      <c r="L364" s="21" t="s">
        <v>26</v>
      </c>
      <c r="M364" s="24">
        <v>1.0</v>
      </c>
      <c r="X364" s="24"/>
      <c r="Y364" s="21"/>
      <c r="Z364" s="24"/>
    </row>
    <row r="365">
      <c r="A365" s="21" t="s">
        <v>750</v>
      </c>
      <c r="B365" s="21" t="s">
        <v>751</v>
      </c>
      <c r="C365" s="22">
        <v>45222.0</v>
      </c>
      <c r="D365" s="22" t="str">
        <f t="shared" si="1"/>
        <v>10.2023</v>
      </c>
      <c r="E365" s="22">
        <v>45234.0</v>
      </c>
      <c r="F365" s="21" t="s">
        <v>29</v>
      </c>
      <c r="G365" s="23">
        <v>4.1</v>
      </c>
      <c r="H365" s="24">
        <v>28.0</v>
      </c>
      <c r="I365" s="24">
        <v>0.0</v>
      </c>
      <c r="J365" s="24">
        <v>49.0</v>
      </c>
      <c r="K365" s="21" t="s">
        <v>19</v>
      </c>
      <c r="L365" s="21" t="s">
        <v>47</v>
      </c>
      <c r="M365" s="24">
        <v>1.0</v>
      </c>
      <c r="X365" s="24"/>
      <c r="Y365" s="21"/>
      <c r="Z365" s="24"/>
    </row>
    <row r="366">
      <c r="A366" s="21" t="s">
        <v>752</v>
      </c>
      <c r="B366" s="21" t="s">
        <v>753</v>
      </c>
      <c r="C366" s="22">
        <v>44983.0</v>
      </c>
      <c r="D366" s="22" t="str">
        <f t="shared" si="1"/>
        <v>02.2023</v>
      </c>
      <c r="E366" s="22">
        <v>44995.0</v>
      </c>
      <c r="F366" s="21" t="s">
        <v>38</v>
      </c>
      <c r="G366" s="23">
        <v>4.0</v>
      </c>
      <c r="H366" s="24">
        <v>66.0</v>
      </c>
      <c r="I366" s="24">
        <v>1.0</v>
      </c>
      <c r="J366" s="24">
        <v>25.0</v>
      </c>
      <c r="K366" s="21" t="s">
        <v>35</v>
      </c>
      <c r="L366" s="21" t="s">
        <v>26</v>
      </c>
      <c r="M366" s="24">
        <v>0.0</v>
      </c>
      <c r="X366" s="24"/>
      <c r="Y366" s="21"/>
      <c r="Z366" s="24"/>
    </row>
    <row r="367">
      <c r="A367" s="21" t="s">
        <v>754</v>
      </c>
      <c r="B367" s="21" t="s">
        <v>755</v>
      </c>
      <c r="C367" s="22">
        <v>45089.0</v>
      </c>
      <c r="D367" s="22" t="str">
        <f t="shared" si="1"/>
        <v>06.2023</v>
      </c>
      <c r="E367" s="22">
        <v>45101.0</v>
      </c>
      <c r="F367" s="21" t="s">
        <v>22</v>
      </c>
      <c r="G367" s="23">
        <v>3.7</v>
      </c>
      <c r="H367" s="24">
        <v>23.0</v>
      </c>
      <c r="I367" s="24">
        <v>1.0</v>
      </c>
      <c r="J367" s="24">
        <v>39.0</v>
      </c>
      <c r="K367" s="21" t="s">
        <v>32</v>
      </c>
      <c r="L367" s="21" t="s">
        <v>16</v>
      </c>
      <c r="M367" s="24">
        <v>0.0</v>
      </c>
      <c r="X367" s="24"/>
      <c r="Y367" s="21"/>
      <c r="Z367" s="24"/>
    </row>
    <row r="368">
      <c r="A368" s="21" t="s">
        <v>756</v>
      </c>
      <c r="B368" s="21" t="s">
        <v>757</v>
      </c>
      <c r="C368" s="22">
        <v>44987.0</v>
      </c>
      <c r="D368" s="22" t="str">
        <f t="shared" si="1"/>
        <v>03.2023</v>
      </c>
      <c r="E368" s="22">
        <v>44999.0</v>
      </c>
      <c r="F368" s="21" t="s">
        <v>29</v>
      </c>
      <c r="G368" s="23">
        <v>2.3</v>
      </c>
      <c r="H368" s="24">
        <v>92.0</v>
      </c>
      <c r="I368" s="24">
        <v>0.0</v>
      </c>
      <c r="J368" s="24">
        <v>48.0</v>
      </c>
      <c r="K368" s="21" t="s">
        <v>32</v>
      </c>
      <c r="L368" s="21" t="s">
        <v>26</v>
      </c>
      <c r="M368" s="24">
        <v>0.0</v>
      </c>
      <c r="X368" s="24"/>
      <c r="Y368" s="21"/>
      <c r="Z368" s="24"/>
    </row>
    <row r="369">
      <c r="A369" s="21" t="s">
        <v>758</v>
      </c>
      <c r="B369" s="21" t="s">
        <v>759</v>
      </c>
      <c r="C369" s="22">
        <v>45025.0</v>
      </c>
      <c r="D369" s="22" t="str">
        <f t="shared" si="1"/>
        <v>04.2023</v>
      </c>
      <c r="E369" s="22">
        <v>45037.0</v>
      </c>
      <c r="F369" s="21" t="s">
        <v>29</v>
      </c>
      <c r="G369" s="23">
        <v>4.2</v>
      </c>
      <c r="H369" s="24">
        <v>45.0</v>
      </c>
      <c r="I369" s="24">
        <v>0.0</v>
      </c>
      <c r="J369" s="24">
        <v>35.0</v>
      </c>
      <c r="K369" s="21" t="s">
        <v>19</v>
      </c>
      <c r="L369" s="21" t="s">
        <v>16</v>
      </c>
      <c r="M369" s="24">
        <v>1.0</v>
      </c>
      <c r="X369" s="24"/>
      <c r="Y369" s="21"/>
      <c r="Z369" s="24"/>
    </row>
    <row r="370">
      <c r="A370" s="21" t="s">
        <v>760</v>
      </c>
      <c r="B370" s="21" t="s">
        <v>761</v>
      </c>
      <c r="C370" s="22">
        <v>44955.0</v>
      </c>
      <c r="D370" s="22" t="str">
        <f t="shared" si="1"/>
        <v>01.2023</v>
      </c>
      <c r="E370" s="22">
        <v>44967.0</v>
      </c>
      <c r="F370" s="21" t="s">
        <v>29</v>
      </c>
      <c r="G370" s="23">
        <v>0.7</v>
      </c>
      <c r="H370" s="24">
        <v>62.0</v>
      </c>
      <c r="I370" s="24">
        <v>0.0</v>
      </c>
      <c r="J370" s="24">
        <v>15.0</v>
      </c>
      <c r="K370" s="21" t="s">
        <v>23</v>
      </c>
      <c r="L370" s="21" t="s">
        <v>26</v>
      </c>
      <c r="M370" s="24">
        <v>1.0</v>
      </c>
      <c r="X370" s="24"/>
      <c r="Y370" s="21"/>
      <c r="Z370" s="24"/>
    </row>
    <row r="371">
      <c r="A371" s="21" t="s">
        <v>762</v>
      </c>
      <c r="B371" s="21" t="s">
        <v>763</v>
      </c>
      <c r="C371" s="22">
        <v>45175.0</v>
      </c>
      <c r="D371" s="22" t="str">
        <f t="shared" si="1"/>
        <v>09.2023</v>
      </c>
      <c r="E371" s="22">
        <v>45187.0</v>
      </c>
      <c r="F371" s="21" t="s">
        <v>22</v>
      </c>
      <c r="G371" s="23">
        <v>4.3</v>
      </c>
      <c r="H371" s="24">
        <v>46.0</v>
      </c>
      <c r="I371" s="24">
        <v>1.0</v>
      </c>
      <c r="J371" s="24">
        <v>45.0</v>
      </c>
      <c r="K371" s="21" t="s">
        <v>35</v>
      </c>
      <c r="L371" s="21" t="s">
        <v>26</v>
      </c>
      <c r="M371" s="24">
        <v>0.0</v>
      </c>
      <c r="X371" s="24"/>
      <c r="Y371" s="21"/>
      <c r="Z371" s="24"/>
    </row>
    <row r="372">
      <c r="A372" s="21" t="s">
        <v>764</v>
      </c>
      <c r="B372" s="21" t="s">
        <v>765</v>
      </c>
      <c r="C372" s="22">
        <v>44986.0</v>
      </c>
      <c r="D372" s="22" t="str">
        <f t="shared" si="1"/>
        <v>03.2023</v>
      </c>
      <c r="E372" s="22">
        <v>44998.0</v>
      </c>
      <c r="F372" s="21" t="s">
        <v>29</v>
      </c>
      <c r="G372" s="23">
        <v>2.2</v>
      </c>
      <c r="H372" s="24">
        <v>39.0</v>
      </c>
      <c r="I372" s="24">
        <v>1.0</v>
      </c>
      <c r="J372" s="24">
        <v>44.0</v>
      </c>
      <c r="K372" s="21" t="s">
        <v>23</v>
      </c>
      <c r="L372" s="21" t="s">
        <v>16</v>
      </c>
      <c r="M372" s="24">
        <v>1.0</v>
      </c>
      <c r="X372" s="24"/>
      <c r="Y372" s="21"/>
      <c r="Z372" s="24"/>
    </row>
    <row r="373">
      <c r="A373" s="21" t="s">
        <v>766</v>
      </c>
      <c r="B373" s="21" t="s">
        <v>767</v>
      </c>
      <c r="C373" s="22">
        <v>44940.0</v>
      </c>
      <c r="D373" s="22" t="str">
        <f t="shared" si="1"/>
        <v>01.2023</v>
      </c>
      <c r="E373" s="22">
        <v>44952.0</v>
      </c>
      <c r="F373" s="21" t="s">
        <v>14</v>
      </c>
      <c r="G373" s="23">
        <v>3.6</v>
      </c>
      <c r="H373" s="24">
        <v>24.0</v>
      </c>
      <c r="I373" s="24">
        <v>0.0</v>
      </c>
      <c r="J373" s="24">
        <v>38.0</v>
      </c>
      <c r="K373" s="21" t="s">
        <v>23</v>
      </c>
      <c r="L373" s="21" t="s">
        <v>26</v>
      </c>
      <c r="M373" s="24">
        <v>1.0</v>
      </c>
      <c r="X373" s="24"/>
      <c r="Y373" s="21"/>
      <c r="Z373" s="24"/>
    </row>
    <row r="374">
      <c r="A374" s="21" t="s">
        <v>768</v>
      </c>
      <c r="B374" s="21" t="s">
        <v>769</v>
      </c>
      <c r="C374" s="22">
        <v>45049.0</v>
      </c>
      <c r="D374" s="22" t="str">
        <f t="shared" si="1"/>
        <v>05.2023</v>
      </c>
      <c r="E374" s="22">
        <v>45061.0</v>
      </c>
      <c r="F374" s="21" t="s">
        <v>22</v>
      </c>
      <c r="G374" s="23">
        <v>1.9</v>
      </c>
      <c r="H374" s="24">
        <v>61.0</v>
      </c>
      <c r="I374" s="24">
        <v>1.0</v>
      </c>
      <c r="J374" s="24">
        <v>51.0</v>
      </c>
      <c r="K374" s="21" t="s">
        <v>19</v>
      </c>
      <c r="L374" s="21" t="s">
        <v>26</v>
      </c>
      <c r="M374" s="24">
        <v>0.0</v>
      </c>
      <c r="X374" s="24"/>
      <c r="Y374" s="21"/>
      <c r="Z374" s="24"/>
    </row>
    <row r="375">
      <c r="A375" s="21" t="s">
        <v>770</v>
      </c>
      <c r="B375" s="21" t="s">
        <v>771</v>
      </c>
      <c r="C375" s="22">
        <v>45081.0</v>
      </c>
      <c r="D375" s="22" t="str">
        <f t="shared" si="1"/>
        <v>06.2023</v>
      </c>
      <c r="E375" s="22">
        <v>45093.0</v>
      </c>
      <c r="F375" s="21" t="s">
        <v>29</v>
      </c>
      <c r="G375" s="23">
        <v>0.2</v>
      </c>
      <c r="H375" s="24">
        <v>7.0</v>
      </c>
      <c r="I375" s="24">
        <v>1.0</v>
      </c>
      <c r="J375" s="24">
        <v>30.0</v>
      </c>
      <c r="K375" s="21" t="s">
        <v>23</v>
      </c>
      <c r="L375" s="21" t="s">
        <v>47</v>
      </c>
      <c r="M375" s="24">
        <v>1.0</v>
      </c>
      <c r="X375" s="24"/>
      <c r="Y375" s="21"/>
      <c r="Z375" s="24"/>
    </row>
    <row r="376">
      <c r="A376" s="21" t="s">
        <v>772</v>
      </c>
      <c r="B376" s="21" t="s">
        <v>773</v>
      </c>
      <c r="C376" s="22">
        <v>45004.0</v>
      </c>
      <c r="D376" s="22" t="str">
        <f t="shared" si="1"/>
        <v>03.2023</v>
      </c>
      <c r="E376" s="22">
        <v>45016.0</v>
      </c>
      <c r="F376" s="21" t="s">
        <v>14</v>
      </c>
      <c r="G376" s="23">
        <v>0.3</v>
      </c>
      <c r="H376" s="24">
        <v>26.0</v>
      </c>
      <c r="I376" s="24">
        <v>0.0</v>
      </c>
      <c r="J376" s="24">
        <v>26.0</v>
      </c>
      <c r="K376" s="21" t="s">
        <v>19</v>
      </c>
      <c r="L376" s="21" t="s">
        <v>26</v>
      </c>
      <c r="M376" s="24">
        <v>1.0</v>
      </c>
      <c r="X376" s="24"/>
      <c r="Y376" s="21"/>
      <c r="Z376" s="24"/>
    </row>
    <row r="377">
      <c r="A377" s="21" t="s">
        <v>774</v>
      </c>
      <c r="B377" s="21" t="s">
        <v>775</v>
      </c>
      <c r="C377" s="22">
        <v>45052.0</v>
      </c>
      <c r="D377" s="22" t="str">
        <f t="shared" si="1"/>
        <v>05.2023</v>
      </c>
      <c r="E377" s="22">
        <v>45064.0</v>
      </c>
      <c r="F377" s="21" t="s">
        <v>14</v>
      </c>
      <c r="G377" s="23">
        <v>0.8</v>
      </c>
      <c r="H377" s="24">
        <v>43.0</v>
      </c>
      <c r="I377" s="24">
        <v>0.0</v>
      </c>
      <c r="J377" s="24">
        <v>46.0</v>
      </c>
      <c r="K377" s="21" t="s">
        <v>23</v>
      </c>
      <c r="L377" s="21" t="s">
        <v>47</v>
      </c>
      <c r="M377" s="24">
        <v>1.0</v>
      </c>
      <c r="X377" s="24"/>
      <c r="Y377" s="21"/>
      <c r="Z377" s="24"/>
    </row>
    <row r="378">
      <c r="A378" s="21" t="s">
        <v>776</v>
      </c>
      <c r="B378" s="21" t="s">
        <v>777</v>
      </c>
      <c r="C378" s="22">
        <v>45001.0</v>
      </c>
      <c r="D378" s="22" t="str">
        <f t="shared" si="1"/>
        <v>03.2023</v>
      </c>
      <c r="E378" s="22">
        <v>45013.0</v>
      </c>
      <c r="F378" s="21" t="s">
        <v>14</v>
      </c>
      <c r="G378" s="23">
        <v>3.1</v>
      </c>
      <c r="H378" s="24">
        <v>35.0</v>
      </c>
      <c r="I378" s="24">
        <v>1.0</v>
      </c>
      <c r="J378" s="24">
        <v>34.0</v>
      </c>
      <c r="K378" s="21" t="s">
        <v>19</v>
      </c>
      <c r="L378" s="21" t="s">
        <v>26</v>
      </c>
      <c r="M378" s="24">
        <v>1.0</v>
      </c>
      <c r="X378" s="24"/>
      <c r="Y378" s="21"/>
      <c r="Z378" s="24"/>
    </row>
    <row r="379">
      <c r="A379" s="21" t="s">
        <v>778</v>
      </c>
      <c r="B379" s="21" t="s">
        <v>779</v>
      </c>
      <c r="C379" s="22">
        <v>45014.0</v>
      </c>
      <c r="D379" s="22" t="str">
        <f t="shared" si="1"/>
        <v>03.2023</v>
      </c>
      <c r="E379" s="22">
        <v>45026.0</v>
      </c>
      <c r="F379" s="21" t="s">
        <v>22</v>
      </c>
      <c r="G379" s="23">
        <v>3.5</v>
      </c>
      <c r="H379" s="24">
        <v>14.0</v>
      </c>
      <c r="I379" s="24">
        <v>1.0</v>
      </c>
      <c r="J379" s="24">
        <v>53.0</v>
      </c>
      <c r="K379" s="21" t="s">
        <v>32</v>
      </c>
      <c r="L379" s="21" t="s">
        <v>47</v>
      </c>
      <c r="M379" s="24">
        <v>1.0</v>
      </c>
      <c r="X379" s="24"/>
      <c r="Y379" s="21"/>
      <c r="Z379" s="24"/>
    </row>
    <row r="380">
      <c r="A380" s="21" t="s">
        <v>780</v>
      </c>
      <c r="B380" s="21" t="s">
        <v>781</v>
      </c>
      <c r="C380" s="22">
        <v>45140.0</v>
      </c>
      <c r="D380" s="22" t="str">
        <f t="shared" si="1"/>
        <v>08.2023</v>
      </c>
      <c r="E380" s="22">
        <v>45152.0</v>
      </c>
      <c r="F380" s="21" t="s">
        <v>22</v>
      </c>
      <c r="G380" s="23">
        <v>1.6</v>
      </c>
      <c r="H380" s="24">
        <v>36.0</v>
      </c>
      <c r="I380" s="24">
        <v>1.0</v>
      </c>
      <c r="J380" s="24">
        <v>36.0</v>
      </c>
      <c r="K380" s="21" t="s">
        <v>35</v>
      </c>
      <c r="L380" s="21" t="s">
        <v>16</v>
      </c>
      <c r="M380" s="24">
        <v>0.0</v>
      </c>
      <c r="X380" s="24"/>
      <c r="Y380" s="21"/>
      <c r="Z380" s="24"/>
    </row>
    <row r="381">
      <c r="A381" s="21" t="s">
        <v>782</v>
      </c>
      <c r="B381" s="21" t="s">
        <v>783</v>
      </c>
      <c r="C381" s="22">
        <v>45018.0</v>
      </c>
      <c r="D381" s="22" t="str">
        <f t="shared" si="1"/>
        <v>04.2023</v>
      </c>
      <c r="E381" s="22">
        <v>45030.0</v>
      </c>
      <c r="F381" s="21" t="s">
        <v>38</v>
      </c>
      <c r="G381" s="23">
        <v>4.4</v>
      </c>
      <c r="H381" s="24">
        <v>68.0</v>
      </c>
      <c r="I381" s="24">
        <v>1.0</v>
      </c>
      <c r="J381" s="24">
        <v>12.0</v>
      </c>
      <c r="K381" s="21" t="s">
        <v>19</v>
      </c>
      <c r="L381" s="21" t="s">
        <v>47</v>
      </c>
      <c r="M381" s="24">
        <v>1.0</v>
      </c>
      <c r="X381" s="24"/>
      <c r="Y381" s="21"/>
      <c r="Z381" s="24"/>
    </row>
    <row r="382">
      <c r="A382" s="21" t="s">
        <v>784</v>
      </c>
      <c r="B382" s="21" t="s">
        <v>785</v>
      </c>
      <c r="C382" s="22">
        <v>44982.0</v>
      </c>
      <c r="D382" s="22" t="str">
        <f t="shared" si="1"/>
        <v>02.2023</v>
      </c>
      <c r="E382" s="22">
        <v>44994.0</v>
      </c>
      <c r="F382" s="21" t="s">
        <v>29</v>
      </c>
      <c r="G382" s="23">
        <v>0.0</v>
      </c>
      <c r="H382" s="24">
        <v>56.0</v>
      </c>
      <c r="I382" s="24">
        <v>1.0</v>
      </c>
      <c r="J382" s="24">
        <v>13.0</v>
      </c>
      <c r="K382" s="21" t="s">
        <v>32</v>
      </c>
      <c r="L382" s="21" t="s">
        <v>47</v>
      </c>
      <c r="M382" s="24">
        <v>0.0</v>
      </c>
      <c r="X382" s="24"/>
      <c r="Y382" s="21"/>
      <c r="Z382" s="24"/>
    </row>
    <row r="383">
      <c r="A383" s="21" t="s">
        <v>786</v>
      </c>
      <c r="B383" s="21" t="s">
        <v>787</v>
      </c>
      <c r="C383" s="22">
        <v>45012.0</v>
      </c>
      <c r="D383" s="22" t="str">
        <f t="shared" si="1"/>
        <v>03.2023</v>
      </c>
      <c r="E383" s="22">
        <v>45024.0</v>
      </c>
      <c r="F383" s="21" t="s">
        <v>38</v>
      </c>
      <c r="G383" s="23">
        <v>1.2</v>
      </c>
      <c r="H383" s="24">
        <v>100.0</v>
      </c>
      <c r="I383" s="24">
        <v>0.0</v>
      </c>
      <c r="J383" s="24">
        <v>31.0</v>
      </c>
      <c r="K383" s="21" t="s">
        <v>35</v>
      </c>
      <c r="L383" s="21" t="s">
        <v>26</v>
      </c>
      <c r="M383" s="24">
        <v>1.0</v>
      </c>
      <c r="X383" s="24"/>
      <c r="Y383" s="21"/>
      <c r="Z383" s="24"/>
    </row>
    <row r="384">
      <c r="A384" s="21" t="s">
        <v>788</v>
      </c>
      <c r="B384" s="21" t="s">
        <v>789</v>
      </c>
      <c r="C384" s="22">
        <v>45150.0</v>
      </c>
      <c r="D384" s="22" t="str">
        <f t="shared" si="1"/>
        <v>08.2023</v>
      </c>
      <c r="E384" s="22">
        <v>45162.0</v>
      </c>
      <c r="F384" s="21" t="s">
        <v>22</v>
      </c>
      <c r="G384" s="23">
        <v>1.5</v>
      </c>
      <c r="H384" s="24">
        <v>77.0</v>
      </c>
      <c r="I384" s="24">
        <v>1.0</v>
      </c>
      <c r="J384" s="24">
        <v>43.0</v>
      </c>
      <c r="K384" s="21" t="s">
        <v>32</v>
      </c>
      <c r="L384" s="21" t="s">
        <v>16</v>
      </c>
      <c r="M384" s="24">
        <v>1.0</v>
      </c>
      <c r="X384" s="24"/>
      <c r="Y384" s="21"/>
      <c r="Z384" s="24"/>
    </row>
    <row r="385">
      <c r="A385" s="21" t="s">
        <v>790</v>
      </c>
      <c r="B385" s="21" t="s">
        <v>791</v>
      </c>
      <c r="C385" s="22">
        <v>45018.0</v>
      </c>
      <c r="D385" s="22" t="str">
        <f t="shared" si="1"/>
        <v>04.2023</v>
      </c>
      <c r="E385" s="22">
        <v>45030.0</v>
      </c>
      <c r="F385" s="21" t="s">
        <v>29</v>
      </c>
      <c r="G385" s="23">
        <v>4.6</v>
      </c>
      <c r="H385" s="24">
        <v>21.0</v>
      </c>
      <c r="I385" s="24">
        <v>1.0</v>
      </c>
      <c r="J385" s="24">
        <v>50.0</v>
      </c>
      <c r="K385" s="21" t="s">
        <v>19</v>
      </c>
      <c r="L385" s="21" t="s">
        <v>47</v>
      </c>
      <c r="M385" s="24">
        <v>1.0</v>
      </c>
      <c r="X385" s="24"/>
      <c r="Y385" s="21"/>
      <c r="Z385" s="24"/>
    </row>
    <row r="386">
      <c r="A386" s="21" t="s">
        <v>792</v>
      </c>
      <c r="B386" s="21" t="s">
        <v>793</v>
      </c>
      <c r="C386" s="22">
        <v>45180.0</v>
      </c>
      <c r="D386" s="22" t="str">
        <f t="shared" si="1"/>
        <v>09.2023</v>
      </c>
      <c r="E386" s="22">
        <v>45192.0</v>
      </c>
      <c r="F386" s="21" t="s">
        <v>14</v>
      </c>
      <c r="G386" s="23">
        <v>4.8</v>
      </c>
      <c r="H386" s="24">
        <v>81.0</v>
      </c>
      <c r="I386" s="24">
        <v>1.0</v>
      </c>
      <c r="J386" s="24">
        <v>47.0</v>
      </c>
      <c r="K386" s="21" t="s">
        <v>32</v>
      </c>
      <c r="L386" s="21" t="s">
        <v>47</v>
      </c>
      <c r="M386" s="24">
        <v>1.0</v>
      </c>
      <c r="X386" s="24"/>
      <c r="Y386" s="21"/>
      <c r="Z386" s="24"/>
    </row>
    <row r="387">
      <c r="A387" s="21" t="s">
        <v>794</v>
      </c>
      <c r="B387" s="21" t="s">
        <v>795</v>
      </c>
      <c r="C387" s="22">
        <v>45206.0</v>
      </c>
      <c r="D387" s="22" t="str">
        <f t="shared" si="1"/>
        <v>10.2023</v>
      </c>
      <c r="E387" s="22">
        <v>45218.0</v>
      </c>
      <c r="F387" s="21" t="s">
        <v>29</v>
      </c>
      <c r="G387" s="23">
        <v>2.8</v>
      </c>
      <c r="H387" s="24">
        <v>57.0</v>
      </c>
      <c r="I387" s="24">
        <v>1.0</v>
      </c>
      <c r="J387" s="24">
        <v>27.0</v>
      </c>
      <c r="K387" s="21" t="s">
        <v>23</v>
      </c>
      <c r="L387" s="21" t="s">
        <v>16</v>
      </c>
      <c r="M387" s="24">
        <v>0.0</v>
      </c>
      <c r="X387" s="24"/>
      <c r="Y387" s="21"/>
      <c r="Z387" s="24"/>
    </row>
    <row r="388">
      <c r="A388" s="21" t="s">
        <v>796</v>
      </c>
      <c r="B388" s="21" t="s">
        <v>797</v>
      </c>
      <c r="C388" s="22">
        <v>45126.0</v>
      </c>
      <c r="D388" s="22" t="str">
        <f t="shared" si="1"/>
        <v>07.2023</v>
      </c>
      <c r="E388" s="22">
        <v>45138.0</v>
      </c>
      <c r="F388" s="21" t="s">
        <v>38</v>
      </c>
      <c r="G388" s="23">
        <v>2.1</v>
      </c>
      <c r="H388" s="24">
        <v>17.0</v>
      </c>
      <c r="I388" s="24">
        <v>1.0</v>
      </c>
      <c r="J388" s="24">
        <v>20.0</v>
      </c>
      <c r="K388" s="21" t="s">
        <v>32</v>
      </c>
      <c r="L388" s="21" t="s">
        <v>16</v>
      </c>
      <c r="M388" s="24">
        <v>1.0</v>
      </c>
      <c r="X388" s="24"/>
      <c r="Y388" s="21"/>
      <c r="Z388" s="24"/>
    </row>
    <row r="389">
      <c r="A389" s="21" t="s">
        <v>798</v>
      </c>
      <c r="B389" s="21" t="s">
        <v>799</v>
      </c>
      <c r="C389" s="22">
        <v>45203.0</v>
      </c>
      <c r="D389" s="22" t="str">
        <f t="shared" si="1"/>
        <v>10.2023</v>
      </c>
      <c r="E389" s="22">
        <v>45215.0</v>
      </c>
      <c r="F389" s="21" t="s">
        <v>29</v>
      </c>
      <c r="G389" s="23">
        <v>3.0</v>
      </c>
      <c r="H389" s="24">
        <v>91.0</v>
      </c>
      <c r="I389" s="24">
        <v>1.0</v>
      </c>
      <c r="J389" s="24">
        <v>42.0</v>
      </c>
      <c r="K389" s="21" t="s">
        <v>23</v>
      </c>
      <c r="L389" s="21" t="s">
        <v>16</v>
      </c>
      <c r="M389" s="24">
        <v>1.0</v>
      </c>
      <c r="X389" s="24"/>
      <c r="Y389" s="21"/>
      <c r="Z389" s="24"/>
    </row>
    <row r="390">
      <c r="A390" s="21" t="s">
        <v>800</v>
      </c>
      <c r="B390" s="21" t="s">
        <v>801</v>
      </c>
      <c r="C390" s="22">
        <v>45218.0</v>
      </c>
      <c r="D390" s="22" t="str">
        <f t="shared" si="1"/>
        <v>10.2023</v>
      </c>
      <c r="E390" s="22">
        <v>45230.0</v>
      </c>
      <c r="F390" s="21" t="s">
        <v>29</v>
      </c>
      <c r="G390" s="23">
        <v>3.9</v>
      </c>
      <c r="H390" s="24">
        <v>2.0</v>
      </c>
      <c r="I390" s="24">
        <v>1.0</v>
      </c>
      <c r="J390" s="24">
        <v>52.0</v>
      </c>
      <c r="K390" s="21" t="s">
        <v>19</v>
      </c>
      <c r="L390" s="21" t="s">
        <v>16</v>
      </c>
      <c r="M390" s="24">
        <v>1.0</v>
      </c>
      <c r="X390" s="24"/>
      <c r="Y390" s="21"/>
      <c r="Z390" s="24"/>
    </row>
    <row r="391">
      <c r="A391" s="21" t="s">
        <v>802</v>
      </c>
      <c r="B391" s="21" t="s">
        <v>803</v>
      </c>
      <c r="C391" s="22">
        <v>45124.0</v>
      </c>
      <c r="D391" s="22" t="str">
        <f t="shared" si="1"/>
        <v>07.2023</v>
      </c>
      <c r="E391" s="22">
        <v>45136.0</v>
      </c>
      <c r="F391" s="21" t="s">
        <v>29</v>
      </c>
      <c r="G391" s="23">
        <v>4.7</v>
      </c>
      <c r="H391" s="24">
        <v>4.0</v>
      </c>
      <c r="I391" s="24">
        <v>0.0</v>
      </c>
      <c r="J391" s="24">
        <v>16.0</v>
      </c>
      <c r="K391" s="21" t="s">
        <v>19</v>
      </c>
      <c r="L391" s="21" t="s">
        <v>47</v>
      </c>
      <c r="M391" s="24">
        <v>1.0</v>
      </c>
      <c r="X391" s="24"/>
      <c r="Y391" s="21"/>
      <c r="Z391" s="24"/>
    </row>
    <row r="392">
      <c r="A392" s="21" t="s">
        <v>804</v>
      </c>
      <c r="B392" s="21" t="s">
        <v>805</v>
      </c>
      <c r="C392" s="22">
        <v>45220.0</v>
      </c>
      <c r="D392" s="22" t="str">
        <f t="shared" si="1"/>
        <v>10.2023</v>
      </c>
      <c r="E392" s="22">
        <v>45232.0</v>
      </c>
      <c r="F392" s="21" t="s">
        <v>22</v>
      </c>
      <c r="G392" s="23">
        <v>1.8</v>
      </c>
      <c r="H392" s="24">
        <v>10.0</v>
      </c>
      <c r="I392" s="24">
        <v>0.0</v>
      </c>
      <c r="J392" s="24">
        <v>37.0</v>
      </c>
      <c r="K392" s="21" t="s">
        <v>19</v>
      </c>
      <c r="L392" s="21" t="s">
        <v>47</v>
      </c>
      <c r="M392" s="24">
        <v>1.0</v>
      </c>
      <c r="X392" s="24"/>
      <c r="Y392" s="21"/>
      <c r="Z392" s="24"/>
    </row>
    <row r="393">
      <c r="A393" s="21" t="s">
        <v>806</v>
      </c>
      <c r="B393" s="21" t="s">
        <v>807</v>
      </c>
      <c r="C393" s="22">
        <v>45088.0</v>
      </c>
      <c r="D393" s="22" t="str">
        <f t="shared" si="1"/>
        <v>06.2023</v>
      </c>
      <c r="E393" s="22">
        <v>45100.0</v>
      </c>
      <c r="F393" s="21" t="s">
        <v>29</v>
      </c>
      <c r="G393" s="23">
        <v>0.5</v>
      </c>
      <c r="H393" s="24">
        <v>31.0</v>
      </c>
      <c r="I393" s="24">
        <v>1.0</v>
      </c>
      <c r="J393" s="24">
        <v>29.0</v>
      </c>
      <c r="K393" s="21" t="s">
        <v>32</v>
      </c>
      <c r="L393" s="21" t="s">
        <v>26</v>
      </c>
      <c r="M393" s="24">
        <v>1.0</v>
      </c>
      <c r="X393" s="24"/>
      <c r="Y393" s="21"/>
      <c r="Z393" s="24"/>
    </row>
    <row r="394">
      <c r="A394" s="21" t="s">
        <v>808</v>
      </c>
      <c r="B394" s="21" t="s">
        <v>809</v>
      </c>
      <c r="C394" s="22">
        <v>44945.0</v>
      </c>
      <c r="D394" s="22" t="str">
        <f t="shared" si="1"/>
        <v>01.2023</v>
      </c>
      <c r="E394" s="22">
        <v>44957.0</v>
      </c>
      <c r="F394" s="21" t="s">
        <v>29</v>
      </c>
      <c r="G394" s="23">
        <v>0.6</v>
      </c>
      <c r="H394" s="24">
        <v>12.0</v>
      </c>
      <c r="I394" s="24">
        <v>0.0</v>
      </c>
      <c r="J394" s="24">
        <v>19.0</v>
      </c>
      <c r="K394" s="21" t="s">
        <v>23</v>
      </c>
      <c r="L394" s="21" t="s">
        <v>26</v>
      </c>
      <c r="M394" s="24">
        <v>1.0</v>
      </c>
      <c r="X394" s="24"/>
      <c r="Y394" s="21"/>
      <c r="Z394" s="24"/>
    </row>
    <row r="395">
      <c r="A395" s="21" t="s">
        <v>810</v>
      </c>
      <c r="B395" s="21" t="s">
        <v>811</v>
      </c>
      <c r="C395" s="22">
        <v>45214.0</v>
      </c>
      <c r="D395" s="22" t="str">
        <f t="shared" si="1"/>
        <v>10.2023</v>
      </c>
      <c r="E395" s="22">
        <v>45226.0</v>
      </c>
      <c r="F395" s="21" t="s">
        <v>14</v>
      </c>
      <c r="G395" s="23">
        <v>2.4</v>
      </c>
      <c r="H395" s="24">
        <v>83.0</v>
      </c>
      <c r="I395" s="24">
        <v>0.0</v>
      </c>
      <c r="J395" s="24">
        <v>55.0</v>
      </c>
      <c r="K395" s="21" t="s">
        <v>23</v>
      </c>
      <c r="L395" s="21" t="s">
        <v>16</v>
      </c>
      <c r="M395" s="24">
        <v>1.0</v>
      </c>
      <c r="X395" s="24"/>
      <c r="Y395" s="21"/>
      <c r="Z395" s="24"/>
    </row>
    <row r="396">
      <c r="A396" s="21" t="s">
        <v>812</v>
      </c>
      <c r="B396" s="21" t="s">
        <v>813</v>
      </c>
      <c r="C396" s="22">
        <v>45213.0</v>
      </c>
      <c r="D396" s="22" t="str">
        <f t="shared" si="1"/>
        <v>10.2023</v>
      </c>
      <c r="E396" s="22">
        <v>45225.0</v>
      </c>
      <c r="F396" s="21" t="s">
        <v>38</v>
      </c>
      <c r="G396" s="23">
        <v>0.1</v>
      </c>
      <c r="H396" s="24">
        <v>50.0</v>
      </c>
      <c r="I396" s="24">
        <v>1.0</v>
      </c>
      <c r="J396" s="24">
        <v>54.0</v>
      </c>
      <c r="K396" s="21" t="s">
        <v>32</v>
      </c>
      <c r="L396" s="21" t="s">
        <v>47</v>
      </c>
      <c r="M396" s="24">
        <v>1.0</v>
      </c>
      <c r="X396" s="24"/>
      <c r="Y396" s="21"/>
      <c r="Z396" s="24"/>
    </row>
    <row r="397">
      <c r="A397" s="21" t="s">
        <v>814</v>
      </c>
      <c r="B397" s="21" t="s">
        <v>815</v>
      </c>
      <c r="C397" s="22">
        <v>45100.0</v>
      </c>
      <c r="D397" s="22" t="str">
        <f t="shared" si="1"/>
        <v>06.2023</v>
      </c>
      <c r="E397" s="22">
        <v>45112.0</v>
      </c>
      <c r="F397" s="21" t="s">
        <v>22</v>
      </c>
      <c r="G397" s="23">
        <v>4.9</v>
      </c>
      <c r="H397" s="24">
        <v>53.0</v>
      </c>
      <c r="I397" s="24">
        <v>0.0</v>
      </c>
      <c r="J397" s="24">
        <v>28.0</v>
      </c>
      <c r="K397" s="21" t="s">
        <v>23</v>
      </c>
      <c r="L397" s="21" t="s">
        <v>16</v>
      </c>
      <c r="M397" s="24">
        <v>1.0</v>
      </c>
      <c r="X397" s="24"/>
      <c r="Y397" s="21"/>
      <c r="Z397" s="24"/>
    </row>
    <row r="398">
      <c r="A398" s="21" t="s">
        <v>816</v>
      </c>
      <c r="B398" s="21" t="s">
        <v>817</v>
      </c>
      <c r="C398" s="22">
        <v>45057.0</v>
      </c>
      <c r="D398" s="22" t="str">
        <f t="shared" si="1"/>
        <v>05.2023</v>
      </c>
      <c r="E398" s="22">
        <v>45069.0</v>
      </c>
      <c r="F398" s="21" t="s">
        <v>38</v>
      </c>
      <c r="G398" s="23">
        <v>3.3</v>
      </c>
      <c r="H398" s="24">
        <v>3.0</v>
      </c>
      <c r="I398" s="24">
        <v>1.0</v>
      </c>
      <c r="J398" s="24">
        <v>24.0</v>
      </c>
      <c r="K398" s="21" t="s">
        <v>19</v>
      </c>
      <c r="L398" s="21" t="s">
        <v>16</v>
      </c>
      <c r="M398" s="24">
        <v>1.0</v>
      </c>
      <c r="X398" s="24"/>
      <c r="Y398" s="21"/>
      <c r="Z398" s="24"/>
    </row>
    <row r="399">
      <c r="A399" s="21" t="s">
        <v>818</v>
      </c>
      <c r="B399" s="21" t="s">
        <v>819</v>
      </c>
      <c r="C399" s="22">
        <v>45076.0</v>
      </c>
      <c r="D399" s="22" t="str">
        <f t="shared" si="1"/>
        <v>05.2023</v>
      </c>
      <c r="E399" s="22">
        <v>45088.0</v>
      </c>
      <c r="F399" s="21" t="s">
        <v>29</v>
      </c>
      <c r="G399" s="23">
        <v>2.0</v>
      </c>
      <c r="H399" s="24">
        <v>29.0</v>
      </c>
      <c r="I399" s="24">
        <v>1.0</v>
      </c>
      <c r="J399" s="24">
        <v>22.0</v>
      </c>
      <c r="K399" s="21" t="s">
        <v>35</v>
      </c>
      <c r="L399" s="21" t="s">
        <v>47</v>
      </c>
      <c r="M399" s="24">
        <v>1.0</v>
      </c>
      <c r="X399" s="24"/>
      <c r="Y399" s="21"/>
      <c r="Z399" s="24"/>
    </row>
    <row r="400">
      <c r="A400" s="21" t="s">
        <v>820</v>
      </c>
      <c r="B400" s="21" t="s">
        <v>821</v>
      </c>
      <c r="C400" s="22">
        <v>45201.0</v>
      </c>
      <c r="D400" s="22" t="str">
        <f t="shared" si="1"/>
        <v>10.2023</v>
      </c>
      <c r="E400" s="22">
        <v>45213.0</v>
      </c>
      <c r="F400" s="21" t="s">
        <v>22</v>
      </c>
      <c r="G400" s="23">
        <v>2.9</v>
      </c>
      <c r="H400" s="24">
        <v>67.0</v>
      </c>
      <c r="I400" s="24">
        <v>0.0</v>
      </c>
      <c r="J400" s="24">
        <v>40.0</v>
      </c>
      <c r="K400" s="21" t="s">
        <v>32</v>
      </c>
      <c r="L400" s="21" t="s">
        <v>47</v>
      </c>
      <c r="M400" s="24">
        <v>1.0</v>
      </c>
      <c r="X400" s="24"/>
      <c r="Y400" s="21"/>
      <c r="Z400" s="24"/>
    </row>
    <row r="401">
      <c r="A401" s="21" t="s">
        <v>822</v>
      </c>
      <c r="B401" s="21" t="s">
        <v>823</v>
      </c>
      <c r="C401" s="22">
        <v>45263.0</v>
      </c>
      <c r="D401" s="22" t="str">
        <f t="shared" si="1"/>
        <v>12.2023</v>
      </c>
      <c r="E401" s="22">
        <v>45275.0</v>
      </c>
      <c r="F401" s="21" t="s">
        <v>38</v>
      </c>
      <c r="G401" s="23">
        <v>0.4</v>
      </c>
      <c r="H401" s="24">
        <v>75.0</v>
      </c>
      <c r="I401" s="24">
        <v>1.0</v>
      </c>
      <c r="J401" s="24">
        <v>32.0</v>
      </c>
      <c r="K401" s="21" t="s">
        <v>15</v>
      </c>
      <c r="L401" s="21" t="s">
        <v>26</v>
      </c>
      <c r="M401" s="24">
        <v>1.0</v>
      </c>
      <c r="X401" s="24"/>
      <c r="Y401" s="21"/>
      <c r="Z401" s="24"/>
    </row>
    <row r="402">
      <c r="A402" s="21" t="s">
        <v>824</v>
      </c>
      <c r="B402" s="21" t="s">
        <v>825</v>
      </c>
      <c r="C402" s="22">
        <v>45026.0</v>
      </c>
      <c r="D402" s="22" t="str">
        <f t="shared" si="1"/>
        <v>04.2023</v>
      </c>
      <c r="E402" s="22">
        <v>45038.0</v>
      </c>
      <c r="F402" s="21" t="s">
        <v>22</v>
      </c>
      <c r="G402" s="23">
        <v>5.0</v>
      </c>
      <c r="H402" s="24">
        <v>71.0</v>
      </c>
      <c r="I402" s="24">
        <v>1.0</v>
      </c>
      <c r="J402" s="24">
        <v>41.0</v>
      </c>
      <c r="K402" s="21" t="s">
        <v>15</v>
      </c>
      <c r="L402" s="21" t="s">
        <v>16</v>
      </c>
      <c r="M402" s="24">
        <v>1.0</v>
      </c>
      <c r="X402" s="24"/>
      <c r="Y402" s="21"/>
      <c r="Z402" s="24"/>
    </row>
    <row r="403">
      <c r="A403" s="21" t="s">
        <v>826</v>
      </c>
      <c r="B403" s="21" t="s">
        <v>827</v>
      </c>
      <c r="C403" s="22">
        <v>45195.0</v>
      </c>
      <c r="D403" s="22" t="str">
        <f t="shared" si="1"/>
        <v>09.2023</v>
      </c>
      <c r="E403" s="22">
        <v>45207.0</v>
      </c>
      <c r="F403" s="21" t="s">
        <v>38</v>
      </c>
      <c r="G403" s="23">
        <v>2.6</v>
      </c>
      <c r="H403" s="24">
        <v>1.0</v>
      </c>
      <c r="I403" s="24">
        <v>0.0</v>
      </c>
      <c r="J403" s="24">
        <v>21.0</v>
      </c>
      <c r="K403" s="21" t="s">
        <v>23</v>
      </c>
      <c r="L403" s="21" t="s">
        <v>16</v>
      </c>
      <c r="M403" s="24">
        <v>1.0</v>
      </c>
      <c r="X403" s="24"/>
      <c r="Y403" s="21"/>
      <c r="Z403" s="24"/>
    </row>
    <row r="404">
      <c r="A404" s="21" t="s">
        <v>828</v>
      </c>
      <c r="B404" s="21" t="s">
        <v>829</v>
      </c>
      <c r="C404" s="22">
        <v>45255.0</v>
      </c>
      <c r="D404" s="22" t="str">
        <f t="shared" si="1"/>
        <v>11.2023</v>
      </c>
      <c r="E404" s="22">
        <v>45267.0</v>
      </c>
      <c r="F404" s="21" t="s">
        <v>14</v>
      </c>
      <c r="G404" s="23">
        <v>0.9</v>
      </c>
      <c r="H404" s="24">
        <v>22.0</v>
      </c>
      <c r="I404" s="24">
        <v>0.0</v>
      </c>
      <c r="J404" s="24">
        <v>23.0</v>
      </c>
      <c r="K404" s="21" t="s">
        <v>35</v>
      </c>
      <c r="L404" s="21" t="s">
        <v>16</v>
      </c>
      <c r="M404" s="24">
        <v>0.0</v>
      </c>
      <c r="X404" s="24"/>
      <c r="Y404" s="21"/>
      <c r="Z404" s="24"/>
    </row>
    <row r="405">
      <c r="A405" s="21" t="s">
        <v>830</v>
      </c>
      <c r="B405" s="21" t="s">
        <v>831</v>
      </c>
      <c r="C405" s="22">
        <v>45115.0</v>
      </c>
      <c r="D405" s="22" t="str">
        <f t="shared" si="1"/>
        <v>07.2023</v>
      </c>
      <c r="E405" s="22">
        <v>45127.0</v>
      </c>
      <c r="F405" s="21" t="s">
        <v>29</v>
      </c>
      <c r="G405" s="23">
        <v>3.8</v>
      </c>
      <c r="H405" s="24">
        <v>0.0</v>
      </c>
      <c r="I405" s="24">
        <v>1.0</v>
      </c>
      <c r="J405" s="24">
        <v>18.0</v>
      </c>
      <c r="K405" s="21" t="s">
        <v>19</v>
      </c>
      <c r="L405" s="21" t="s">
        <v>26</v>
      </c>
      <c r="M405" s="24">
        <v>1.0</v>
      </c>
      <c r="X405" s="24"/>
      <c r="Y405" s="21"/>
      <c r="Z405" s="24"/>
    </row>
    <row r="406">
      <c r="A406" s="21" t="s">
        <v>832</v>
      </c>
      <c r="B406" s="21" t="s">
        <v>833</v>
      </c>
      <c r="C406" s="22">
        <v>45026.0</v>
      </c>
      <c r="D406" s="22" t="str">
        <f t="shared" si="1"/>
        <v>04.2023</v>
      </c>
      <c r="E406" s="22">
        <v>45038.0</v>
      </c>
      <c r="F406" s="21" t="s">
        <v>22</v>
      </c>
      <c r="G406" s="23">
        <v>2.5</v>
      </c>
      <c r="H406" s="24">
        <v>50.0</v>
      </c>
      <c r="I406" s="24">
        <v>1.0</v>
      </c>
      <c r="J406" s="24">
        <v>56.0</v>
      </c>
      <c r="K406" s="21" t="s">
        <v>15</v>
      </c>
      <c r="L406" s="21" t="s">
        <v>47</v>
      </c>
      <c r="M406" s="24">
        <v>0.0</v>
      </c>
      <c r="X406" s="24"/>
      <c r="Y406" s="21"/>
      <c r="Z406" s="24"/>
    </row>
    <row r="407">
      <c r="A407" s="21" t="s">
        <v>834</v>
      </c>
      <c r="B407" s="21" t="s">
        <v>835</v>
      </c>
      <c r="C407" s="22">
        <v>44958.0</v>
      </c>
      <c r="D407" s="22" t="str">
        <f t="shared" si="1"/>
        <v>02.2023</v>
      </c>
      <c r="E407" s="22">
        <v>44970.0</v>
      </c>
      <c r="F407" s="21" t="s">
        <v>38</v>
      </c>
      <c r="G407" s="23">
        <v>4.5</v>
      </c>
      <c r="H407" s="24">
        <v>94.0</v>
      </c>
      <c r="I407" s="24">
        <v>1.0</v>
      </c>
      <c r="J407" s="24">
        <v>39.0</v>
      </c>
      <c r="K407" s="21" t="s">
        <v>15</v>
      </c>
      <c r="L407" s="21" t="s">
        <v>47</v>
      </c>
      <c r="M407" s="24">
        <v>1.0</v>
      </c>
      <c r="X407" s="24"/>
      <c r="Y407" s="21"/>
      <c r="Z407" s="24"/>
    </row>
    <row r="408">
      <c r="A408" s="21" t="s">
        <v>836</v>
      </c>
      <c r="B408" s="21" t="s">
        <v>837</v>
      </c>
      <c r="C408" s="22">
        <v>45163.0</v>
      </c>
      <c r="D408" s="22" t="str">
        <f t="shared" si="1"/>
        <v>08.2023</v>
      </c>
      <c r="E408" s="22">
        <v>45175.0</v>
      </c>
      <c r="F408" s="21" t="s">
        <v>14</v>
      </c>
      <c r="G408" s="23">
        <v>1.3</v>
      </c>
      <c r="H408" s="24">
        <v>7.0</v>
      </c>
      <c r="I408" s="24">
        <v>0.0</v>
      </c>
      <c r="J408" s="24">
        <v>52.0</v>
      </c>
      <c r="K408" s="21" t="s">
        <v>23</v>
      </c>
      <c r="L408" s="21" t="s">
        <v>47</v>
      </c>
      <c r="M408" s="24">
        <v>1.0</v>
      </c>
      <c r="X408" s="24"/>
      <c r="Y408" s="21"/>
      <c r="Z408" s="24"/>
    </row>
    <row r="409">
      <c r="A409" s="21" t="s">
        <v>838</v>
      </c>
      <c r="B409" s="21" t="s">
        <v>839</v>
      </c>
      <c r="C409" s="22">
        <v>44976.0</v>
      </c>
      <c r="D409" s="22" t="str">
        <f t="shared" si="1"/>
        <v>02.2023</v>
      </c>
      <c r="E409" s="22">
        <v>44988.0</v>
      </c>
      <c r="F409" s="21" t="s">
        <v>22</v>
      </c>
      <c r="G409" s="23">
        <v>2.7</v>
      </c>
      <c r="H409" s="24">
        <v>51.0</v>
      </c>
      <c r="I409" s="24">
        <v>0.0</v>
      </c>
      <c r="J409" s="24">
        <v>55.0</v>
      </c>
      <c r="K409" s="21" t="s">
        <v>19</v>
      </c>
      <c r="L409" s="21" t="s">
        <v>26</v>
      </c>
      <c r="M409" s="24">
        <v>1.0</v>
      </c>
      <c r="X409" s="24"/>
      <c r="Y409" s="21"/>
      <c r="Z409" s="24"/>
    </row>
    <row r="410">
      <c r="A410" s="21" t="s">
        <v>840</v>
      </c>
      <c r="B410" s="21" t="s">
        <v>841</v>
      </c>
      <c r="C410" s="22">
        <v>45246.0</v>
      </c>
      <c r="D410" s="22" t="str">
        <f t="shared" si="1"/>
        <v>11.2023</v>
      </c>
      <c r="E410" s="22">
        <v>45258.0</v>
      </c>
      <c r="F410" s="21" t="s">
        <v>38</v>
      </c>
      <c r="G410" s="23">
        <v>3.4</v>
      </c>
      <c r="H410" s="24">
        <v>27.0</v>
      </c>
      <c r="I410" s="24">
        <v>1.0</v>
      </c>
      <c r="J410" s="24">
        <v>27.0</v>
      </c>
      <c r="K410" s="21" t="s">
        <v>32</v>
      </c>
      <c r="L410" s="21" t="s">
        <v>16</v>
      </c>
      <c r="M410" s="24">
        <v>0.0</v>
      </c>
      <c r="X410" s="24"/>
      <c r="Y410" s="21"/>
      <c r="Z410" s="24"/>
    </row>
    <row r="411">
      <c r="A411" s="21" t="s">
        <v>842</v>
      </c>
      <c r="B411" s="21" t="s">
        <v>843</v>
      </c>
      <c r="C411" s="22">
        <v>45034.0</v>
      </c>
      <c r="D411" s="22" t="str">
        <f t="shared" si="1"/>
        <v>04.2023</v>
      </c>
      <c r="E411" s="22">
        <v>45046.0</v>
      </c>
      <c r="F411" s="21" t="s">
        <v>29</v>
      </c>
      <c r="G411" s="23">
        <v>1.1</v>
      </c>
      <c r="H411" s="24">
        <v>99.0</v>
      </c>
      <c r="I411" s="24">
        <v>1.0</v>
      </c>
      <c r="J411" s="24">
        <v>31.0</v>
      </c>
      <c r="K411" s="21" t="s">
        <v>32</v>
      </c>
      <c r="L411" s="21" t="s">
        <v>47</v>
      </c>
      <c r="M411" s="24">
        <v>1.0</v>
      </c>
      <c r="X411" s="24"/>
      <c r="Y411" s="21"/>
      <c r="Z411" s="24"/>
    </row>
    <row r="412">
      <c r="A412" s="21" t="s">
        <v>844</v>
      </c>
      <c r="B412" s="21" t="s">
        <v>845</v>
      </c>
      <c r="C412" s="22">
        <v>45230.0</v>
      </c>
      <c r="D412" s="22" t="str">
        <f t="shared" si="1"/>
        <v>10.2023</v>
      </c>
      <c r="E412" s="22">
        <v>45242.0</v>
      </c>
      <c r="F412" s="21" t="s">
        <v>14</v>
      </c>
      <c r="G412" s="23">
        <v>3.2</v>
      </c>
      <c r="H412" s="24">
        <v>73.0</v>
      </c>
      <c r="I412" s="24">
        <v>1.0</v>
      </c>
      <c r="J412" s="24">
        <v>42.0</v>
      </c>
      <c r="K412" s="21" t="s">
        <v>23</v>
      </c>
      <c r="L412" s="21" t="s">
        <v>47</v>
      </c>
      <c r="M412" s="24">
        <v>1.0</v>
      </c>
      <c r="X412" s="24"/>
      <c r="Y412" s="21"/>
      <c r="Z412" s="24"/>
    </row>
    <row r="413">
      <c r="A413" s="21" t="s">
        <v>846</v>
      </c>
      <c r="B413" s="21" t="s">
        <v>847</v>
      </c>
      <c r="C413" s="22">
        <v>45237.0</v>
      </c>
      <c r="D413" s="22" t="str">
        <f t="shared" si="1"/>
        <v>11.2023</v>
      </c>
      <c r="E413" s="22">
        <v>45249.0</v>
      </c>
      <c r="F413" s="21" t="s">
        <v>22</v>
      </c>
      <c r="G413" s="23">
        <v>0.8</v>
      </c>
      <c r="H413" s="24">
        <v>63.0</v>
      </c>
      <c r="I413" s="24">
        <v>1.0</v>
      </c>
      <c r="J413" s="24">
        <v>25.0</v>
      </c>
      <c r="K413" s="21" t="s">
        <v>35</v>
      </c>
      <c r="L413" s="21" t="s">
        <v>16</v>
      </c>
      <c r="M413" s="24">
        <v>0.0</v>
      </c>
      <c r="X413" s="24"/>
      <c r="Y413" s="21"/>
      <c r="Z413" s="24"/>
    </row>
    <row r="414">
      <c r="A414" s="21" t="s">
        <v>848</v>
      </c>
      <c r="B414" s="21" t="s">
        <v>849</v>
      </c>
      <c r="C414" s="22">
        <v>45147.0</v>
      </c>
      <c r="D414" s="22" t="str">
        <f t="shared" si="1"/>
        <v>08.2023</v>
      </c>
      <c r="E414" s="22">
        <v>45159.0</v>
      </c>
      <c r="F414" s="21" t="s">
        <v>38</v>
      </c>
      <c r="G414" s="23">
        <v>4.1</v>
      </c>
      <c r="H414" s="24">
        <v>57.0</v>
      </c>
      <c r="I414" s="24">
        <v>0.0</v>
      </c>
      <c r="J414" s="24">
        <v>35.0</v>
      </c>
      <c r="K414" s="21" t="s">
        <v>35</v>
      </c>
      <c r="L414" s="21" t="s">
        <v>16</v>
      </c>
      <c r="M414" s="24">
        <v>0.0</v>
      </c>
      <c r="X414" s="24"/>
      <c r="Y414" s="21"/>
      <c r="Z414" s="24"/>
    </row>
    <row r="415">
      <c r="A415" s="21" t="s">
        <v>850</v>
      </c>
      <c r="B415" s="21" t="s">
        <v>851</v>
      </c>
      <c r="C415" s="22">
        <v>45221.0</v>
      </c>
      <c r="D415" s="22" t="str">
        <f t="shared" si="1"/>
        <v>10.2023</v>
      </c>
      <c r="E415" s="22">
        <v>45233.0</v>
      </c>
      <c r="F415" s="21" t="s">
        <v>14</v>
      </c>
      <c r="G415" s="23">
        <v>2.5</v>
      </c>
      <c r="H415" s="24">
        <v>26.0</v>
      </c>
      <c r="I415" s="24">
        <v>1.0</v>
      </c>
      <c r="J415" s="24">
        <v>18.0</v>
      </c>
      <c r="K415" s="21" t="s">
        <v>35</v>
      </c>
      <c r="L415" s="21" t="s">
        <v>47</v>
      </c>
      <c r="M415" s="24">
        <v>1.0</v>
      </c>
      <c r="X415" s="24"/>
      <c r="Y415" s="21"/>
      <c r="Z415" s="24"/>
    </row>
    <row r="416">
      <c r="A416" s="21" t="s">
        <v>852</v>
      </c>
      <c r="B416" s="21" t="s">
        <v>853</v>
      </c>
      <c r="C416" s="22">
        <v>44963.0</v>
      </c>
      <c r="D416" s="22" t="str">
        <f t="shared" si="1"/>
        <v>02.2023</v>
      </c>
      <c r="E416" s="22">
        <v>44975.0</v>
      </c>
      <c r="F416" s="21" t="s">
        <v>14</v>
      </c>
      <c r="G416" s="23">
        <v>3.9</v>
      </c>
      <c r="H416" s="24">
        <v>10.0</v>
      </c>
      <c r="I416" s="24">
        <v>0.0</v>
      </c>
      <c r="J416" s="24">
        <v>40.0</v>
      </c>
      <c r="K416" s="21" t="s">
        <v>19</v>
      </c>
      <c r="L416" s="21" t="s">
        <v>47</v>
      </c>
      <c r="M416" s="24">
        <v>1.0</v>
      </c>
      <c r="X416" s="24"/>
      <c r="Y416" s="21"/>
      <c r="Z416" s="24"/>
    </row>
    <row r="417">
      <c r="A417" s="21" t="s">
        <v>854</v>
      </c>
      <c r="B417" s="21" t="s">
        <v>855</v>
      </c>
      <c r="C417" s="22">
        <v>44960.0</v>
      </c>
      <c r="D417" s="22" t="str">
        <f t="shared" si="1"/>
        <v>02.2023</v>
      </c>
      <c r="E417" s="22">
        <v>44972.0</v>
      </c>
      <c r="F417" s="21" t="s">
        <v>38</v>
      </c>
      <c r="G417" s="23">
        <v>2.2</v>
      </c>
      <c r="H417" s="24">
        <v>32.0</v>
      </c>
      <c r="I417" s="24">
        <v>1.0</v>
      </c>
      <c r="J417" s="24">
        <v>23.0</v>
      </c>
      <c r="K417" s="21" t="s">
        <v>23</v>
      </c>
      <c r="L417" s="21" t="s">
        <v>26</v>
      </c>
      <c r="M417" s="24">
        <v>0.0</v>
      </c>
      <c r="X417" s="24"/>
      <c r="Y417" s="21"/>
      <c r="Z417" s="24"/>
    </row>
    <row r="418">
      <c r="A418" s="21" t="s">
        <v>856</v>
      </c>
      <c r="B418" s="21" t="s">
        <v>857</v>
      </c>
      <c r="C418" s="22">
        <v>45026.0</v>
      </c>
      <c r="D418" s="22" t="str">
        <f t="shared" si="1"/>
        <v>04.2023</v>
      </c>
      <c r="E418" s="22">
        <v>45038.0</v>
      </c>
      <c r="F418" s="21" t="s">
        <v>22</v>
      </c>
      <c r="G418" s="23">
        <v>3.5</v>
      </c>
      <c r="H418" s="24">
        <v>17.0</v>
      </c>
      <c r="I418" s="24">
        <v>1.0</v>
      </c>
      <c r="J418" s="24">
        <v>49.0</v>
      </c>
      <c r="K418" s="21" t="s">
        <v>19</v>
      </c>
      <c r="L418" s="21" t="s">
        <v>47</v>
      </c>
      <c r="M418" s="24">
        <v>0.0</v>
      </c>
      <c r="X418" s="24"/>
      <c r="Y418" s="21"/>
      <c r="Z418" s="24"/>
    </row>
    <row r="419">
      <c r="A419" s="21" t="s">
        <v>858</v>
      </c>
      <c r="B419" s="21" t="s">
        <v>859</v>
      </c>
      <c r="C419" s="22">
        <v>45032.0</v>
      </c>
      <c r="D419" s="22" t="str">
        <f t="shared" si="1"/>
        <v>04.2023</v>
      </c>
      <c r="E419" s="22">
        <v>45044.0</v>
      </c>
      <c r="F419" s="21" t="s">
        <v>22</v>
      </c>
      <c r="G419" s="23">
        <v>2.0</v>
      </c>
      <c r="H419" s="24">
        <v>38.0</v>
      </c>
      <c r="I419" s="24">
        <v>0.0</v>
      </c>
      <c r="J419" s="24">
        <v>13.0</v>
      </c>
      <c r="K419" s="21" t="s">
        <v>19</v>
      </c>
      <c r="L419" s="21" t="s">
        <v>47</v>
      </c>
      <c r="M419" s="24">
        <v>0.0</v>
      </c>
      <c r="X419" s="24"/>
      <c r="Y419" s="21"/>
      <c r="Z419" s="24"/>
    </row>
    <row r="420">
      <c r="A420" s="21" t="s">
        <v>860</v>
      </c>
      <c r="B420" s="21" t="s">
        <v>861</v>
      </c>
      <c r="C420" s="22">
        <v>45045.0</v>
      </c>
      <c r="D420" s="22" t="str">
        <f t="shared" si="1"/>
        <v>04.2023</v>
      </c>
      <c r="E420" s="22">
        <v>45057.0</v>
      </c>
      <c r="F420" s="21" t="s">
        <v>14</v>
      </c>
      <c r="G420" s="23">
        <v>4.9</v>
      </c>
      <c r="H420" s="24">
        <v>14.0</v>
      </c>
      <c r="I420" s="24">
        <v>1.0</v>
      </c>
      <c r="J420" s="24">
        <v>32.0</v>
      </c>
      <c r="K420" s="21" t="s">
        <v>15</v>
      </c>
      <c r="L420" s="21" t="s">
        <v>16</v>
      </c>
      <c r="M420" s="24">
        <v>1.0</v>
      </c>
      <c r="X420" s="24"/>
      <c r="Y420" s="21"/>
      <c r="Z420" s="24"/>
    </row>
    <row r="421">
      <c r="A421" s="21" t="s">
        <v>862</v>
      </c>
      <c r="B421" s="21" t="s">
        <v>863</v>
      </c>
      <c r="C421" s="22">
        <v>44953.0</v>
      </c>
      <c r="D421" s="22" t="str">
        <f t="shared" si="1"/>
        <v>01.2023</v>
      </c>
      <c r="E421" s="22">
        <v>44965.0</v>
      </c>
      <c r="F421" s="21" t="s">
        <v>38</v>
      </c>
      <c r="G421" s="23">
        <v>0.6</v>
      </c>
      <c r="H421" s="24">
        <v>76.0</v>
      </c>
      <c r="I421" s="24">
        <v>0.0</v>
      </c>
      <c r="J421" s="24">
        <v>22.0</v>
      </c>
      <c r="K421" s="21" t="s">
        <v>19</v>
      </c>
      <c r="L421" s="21" t="s">
        <v>26</v>
      </c>
      <c r="M421" s="24">
        <v>0.0</v>
      </c>
      <c r="X421" s="24"/>
      <c r="Y421" s="21"/>
      <c r="Z421" s="24"/>
    </row>
    <row r="422">
      <c r="A422" s="21" t="s">
        <v>864</v>
      </c>
      <c r="B422" s="21" t="s">
        <v>865</v>
      </c>
      <c r="C422" s="22">
        <v>45229.0</v>
      </c>
      <c r="D422" s="22" t="str">
        <f t="shared" si="1"/>
        <v>10.2023</v>
      </c>
      <c r="E422" s="22">
        <v>45241.0</v>
      </c>
      <c r="F422" s="21" t="s">
        <v>22</v>
      </c>
      <c r="G422" s="23">
        <v>2.8</v>
      </c>
      <c r="H422" s="24">
        <v>42.0</v>
      </c>
      <c r="I422" s="24">
        <v>1.0</v>
      </c>
      <c r="J422" s="24">
        <v>38.0</v>
      </c>
      <c r="K422" s="21" t="s">
        <v>15</v>
      </c>
      <c r="L422" s="21" t="s">
        <v>16</v>
      </c>
      <c r="M422" s="24">
        <v>0.0</v>
      </c>
      <c r="X422" s="24"/>
      <c r="Y422" s="21"/>
      <c r="Z422" s="24"/>
    </row>
    <row r="423">
      <c r="A423" s="21" t="s">
        <v>866</v>
      </c>
      <c r="B423" s="21" t="s">
        <v>867</v>
      </c>
      <c r="C423" s="22">
        <v>44945.0</v>
      </c>
      <c r="D423" s="22" t="str">
        <f t="shared" si="1"/>
        <v>01.2023</v>
      </c>
      <c r="E423" s="22">
        <v>44957.0</v>
      </c>
      <c r="F423" s="21" t="s">
        <v>29</v>
      </c>
      <c r="G423" s="23">
        <v>4.2</v>
      </c>
      <c r="H423" s="24">
        <v>68.0</v>
      </c>
      <c r="I423" s="24">
        <v>1.0</v>
      </c>
      <c r="J423" s="24">
        <v>36.0</v>
      </c>
      <c r="K423" s="21" t="s">
        <v>19</v>
      </c>
      <c r="L423" s="21" t="s">
        <v>16</v>
      </c>
      <c r="M423" s="24">
        <v>1.0</v>
      </c>
      <c r="X423" s="24"/>
      <c r="Y423" s="21"/>
      <c r="Z423" s="24"/>
    </row>
    <row r="424">
      <c r="A424" s="21" t="s">
        <v>868</v>
      </c>
      <c r="B424" s="21" t="s">
        <v>869</v>
      </c>
      <c r="C424" s="22">
        <v>45143.0</v>
      </c>
      <c r="D424" s="22" t="str">
        <f t="shared" si="1"/>
        <v>08.2023</v>
      </c>
      <c r="E424" s="22">
        <v>45155.0</v>
      </c>
      <c r="F424" s="21" t="s">
        <v>38</v>
      </c>
      <c r="G424" s="23">
        <v>0.7</v>
      </c>
      <c r="H424" s="24">
        <v>81.0</v>
      </c>
      <c r="I424" s="24">
        <v>1.0</v>
      </c>
      <c r="J424" s="24">
        <v>53.0</v>
      </c>
      <c r="K424" s="21" t="s">
        <v>23</v>
      </c>
      <c r="L424" s="21" t="s">
        <v>16</v>
      </c>
      <c r="M424" s="24">
        <v>1.0</v>
      </c>
      <c r="X424" s="24"/>
      <c r="Y424" s="21"/>
      <c r="Z424" s="24"/>
    </row>
    <row r="425">
      <c r="A425" s="21" t="s">
        <v>870</v>
      </c>
      <c r="B425" s="21" t="s">
        <v>871</v>
      </c>
      <c r="C425" s="22">
        <v>45271.0</v>
      </c>
      <c r="D425" s="22" t="str">
        <f t="shared" si="1"/>
        <v>12.2023</v>
      </c>
      <c r="E425" s="22">
        <v>45283.0</v>
      </c>
      <c r="F425" s="21" t="s">
        <v>22</v>
      </c>
      <c r="G425" s="23">
        <v>2.6</v>
      </c>
      <c r="H425" s="24">
        <v>87.0</v>
      </c>
      <c r="I425" s="24">
        <v>1.0</v>
      </c>
      <c r="J425" s="24">
        <v>50.0</v>
      </c>
      <c r="K425" s="21" t="s">
        <v>23</v>
      </c>
      <c r="L425" s="21" t="s">
        <v>26</v>
      </c>
      <c r="M425" s="24">
        <v>1.0</v>
      </c>
      <c r="X425" s="24"/>
      <c r="Y425" s="21"/>
      <c r="Z425" s="24"/>
    </row>
    <row r="426">
      <c r="A426" s="21" t="s">
        <v>872</v>
      </c>
      <c r="B426" s="21" t="s">
        <v>873</v>
      </c>
      <c r="C426" s="22">
        <v>45147.0</v>
      </c>
      <c r="D426" s="22" t="str">
        <f t="shared" si="1"/>
        <v>08.2023</v>
      </c>
      <c r="E426" s="22">
        <v>45159.0</v>
      </c>
      <c r="F426" s="21" t="s">
        <v>22</v>
      </c>
      <c r="G426" s="23">
        <v>4.8</v>
      </c>
      <c r="H426" s="24">
        <v>2.0</v>
      </c>
      <c r="I426" s="24">
        <v>1.0</v>
      </c>
      <c r="J426" s="24">
        <v>37.0</v>
      </c>
      <c r="K426" s="21" t="s">
        <v>15</v>
      </c>
      <c r="L426" s="21" t="s">
        <v>26</v>
      </c>
      <c r="M426" s="24">
        <v>1.0</v>
      </c>
      <c r="X426" s="24"/>
      <c r="Y426" s="21"/>
      <c r="Z426" s="24"/>
    </row>
    <row r="427">
      <c r="A427" s="21" t="s">
        <v>874</v>
      </c>
      <c r="B427" s="21" t="s">
        <v>875</v>
      </c>
      <c r="C427" s="22">
        <v>44968.0</v>
      </c>
      <c r="D427" s="22" t="str">
        <f t="shared" si="1"/>
        <v>02.2023</v>
      </c>
      <c r="E427" s="22">
        <v>44980.0</v>
      </c>
      <c r="F427" s="21" t="s">
        <v>38</v>
      </c>
      <c r="G427" s="23">
        <v>1.7</v>
      </c>
      <c r="H427" s="24">
        <v>9.0</v>
      </c>
      <c r="I427" s="24">
        <v>0.0</v>
      </c>
      <c r="J427" s="24">
        <v>34.0</v>
      </c>
      <c r="K427" s="21" t="s">
        <v>19</v>
      </c>
      <c r="L427" s="21" t="s">
        <v>47</v>
      </c>
      <c r="M427" s="24">
        <v>1.0</v>
      </c>
      <c r="X427" s="24"/>
      <c r="Y427" s="21"/>
      <c r="Z427" s="24"/>
    </row>
    <row r="428">
      <c r="A428" s="21" t="s">
        <v>876</v>
      </c>
      <c r="B428" s="21" t="s">
        <v>877</v>
      </c>
      <c r="C428" s="22">
        <v>45202.0</v>
      </c>
      <c r="D428" s="22" t="str">
        <f t="shared" si="1"/>
        <v>10.2023</v>
      </c>
      <c r="E428" s="22">
        <v>45214.0</v>
      </c>
      <c r="F428" s="21" t="s">
        <v>14</v>
      </c>
      <c r="G428" s="23">
        <v>1.5</v>
      </c>
      <c r="H428" s="24">
        <v>19.0</v>
      </c>
      <c r="I428" s="24">
        <v>1.0</v>
      </c>
      <c r="J428" s="24">
        <v>20.0</v>
      </c>
      <c r="K428" s="21" t="s">
        <v>23</v>
      </c>
      <c r="L428" s="21" t="s">
        <v>26</v>
      </c>
      <c r="M428" s="24">
        <v>0.0</v>
      </c>
      <c r="X428" s="24"/>
      <c r="Y428" s="21"/>
      <c r="Z428" s="24"/>
    </row>
    <row r="429">
      <c r="A429" s="21" t="s">
        <v>878</v>
      </c>
      <c r="B429" s="21" t="s">
        <v>879</v>
      </c>
      <c r="C429" s="22">
        <v>45185.0</v>
      </c>
      <c r="D429" s="22" t="str">
        <f t="shared" si="1"/>
        <v>09.2023</v>
      </c>
      <c r="E429" s="22">
        <v>45197.0</v>
      </c>
      <c r="F429" s="21" t="s">
        <v>29</v>
      </c>
      <c r="G429" s="23">
        <v>0.9</v>
      </c>
      <c r="H429" s="24">
        <v>74.0</v>
      </c>
      <c r="I429" s="24">
        <v>1.0</v>
      </c>
      <c r="J429" s="24">
        <v>47.0</v>
      </c>
      <c r="K429" s="21" t="s">
        <v>19</v>
      </c>
      <c r="L429" s="21" t="s">
        <v>16</v>
      </c>
      <c r="M429" s="24">
        <v>1.0</v>
      </c>
      <c r="X429" s="24"/>
      <c r="Y429" s="21"/>
      <c r="Z429" s="24"/>
    </row>
    <row r="430">
      <c r="A430" s="21" t="s">
        <v>880</v>
      </c>
      <c r="B430" s="21" t="s">
        <v>881</v>
      </c>
      <c r="C430" s="22">
        <v>45225.0</v>
      </c>
      <c r="D430" s="22" t="str">
        <f t="shared" si="1"/>
        <v>10.2023</v>
      </c>
      <c r="E430" s="22">
        <v>45237.0</v>
      </c>
      <c r="F430" s="21" t="s">
        <v>22</v>
      </c>
      <c r="G430" s="23">
        <v>2.9</v>
      </c>
      <c r="H430" s="24">
        <v>95.0</v>
      </c>
      <c r="I430" s="24">
        <v>0.0</v>
      </c>
      <c r="J430" s="24">
        <v>48.0</v>
      </c>
      <c r="K430" s="21" t="s">
        <v>23</v>
      </c>
      <c r="L430" s="21" t="s">
        <v>47</v>
      </c>
      <c r="M430" s="24">
        <v>0.0</v>
      </c>
      <c r="X430" s="24"/>
      <c r="Y430" s="21"/>
      <c r="Z430" s="24"/>
    </row>
    <row r="431">
      <c r="A431" s="21" t="s">
        <v>882</v>
      </c>
      <c r="B431" s="21" t="s">
        <v>883</v>
      </c>
      <c r="C431" s="22">
        <v>44976.0</v>
      </c>
      <c r="D431" s="22" t="str">
        <f t="shared" si="1"/>
        <v>02.2023</v>
      </c>
      <c r="E431" s="22">
        <v>44988.0</v>
      </c>
      <c r="F431" s="21" t="s">
        <v>22</v>
      </c>
      <c r="G431" s="23">
        <v>1.9</v>
      </c>
      <c r="H431" s="24">
        <v>88.0</v>
      </c>
      <c r="I431" s="24">
        <v>1.0</v>
      </c>
      <c r="J431" s="24">
        <v>54.0</v>
      </c>
      <c r="K431" s="21" t="s">
        <v>35</v>
      </c>
      <c r="L431" s="21" t="s">
        <v>26</v>
      </c>
      <c r="M431" s="24">
        <v>1.0</v>
      </c>
      <c r="X431" s="24"/>
      <c r="Y431" s="21"/>
      <c r="Z431" s="24"/>
    </row>
    <row r="432">
      <c r="A432" s="21" t="s">
        <v>884</v>
      </c>
      <c r="B432" s="21" t="s">
        <v>885</v>
      </c>
      <c r="C432" s="22">
        <v>45177.0</v>
      </c>
      <c r="D432" s="22" t="str">
        <f t="shared" si="1"/>
        <v>09.2023</v>
      </c>
      <c r="E432" s="22">
        <v>45189.0</v>
      </c>
      <c r="F432" s="21" t="s">
        <v>14</v>
      </c>
      <c r="G432" s="23">
        <v>2.3</v>
      </c>
      <c r="H432" s="24">
        <v>41.0</v>
      </c>
      <c r="I432" s="24">
        <v>0.0</v>
      </c>
      <c r="J432" s="24">
        <v>46.0</v>
      </c>
      <c r="K432" s="21" t="s">
        <v>35</v>
      </c>
      <c r="L432" s="21" t="s">
        <v>26</v>
      </c>
      <c r="M432" s="24">
        <v>1.0</v>
      </c>
      <c r="X432" s="24"/>
      <c r="Y432" s="21"/>
      <c r="Z432" s="24"/>
    </row>
    <row r="433">
      <c r="A433" s="21" t="s">
        <v>886</v>
      </c>
      <c r="B433" s="21" t="s">
        <v>887</v>
      </c>
      <c r="C433" s="22">
        <v>45084.0</v>
      </c>
      <c r="D433" s="22" t="str">
        <f t="shared" si="1"/>
        <v>06.2023</v>
      </c>
      <c r="E433" s="22">
        <v>45096.0</v>
      </c>
      <c r="F433" s="21" t="s">
        <v>22</v>
      </c>
      <c r="G433" s="23">
        <v>1.8</v>
      </c>
      <c r="H433" s="24">
        <v>18.0</v>
      </c>
      <c r="I433" s="24">
        <v>0.0</v>
      </c>
      <c r="J433" s="24">
        <v>12.0</v>
      </c>
      <c r="K433" s="21" t="s">
        <v>19</v>
      </c>
      <c r="L433" s="21" t="s">
        <v>16</v>
      </c>
      <c r="M433" s="24">
        <v>1.0</v>
      </c>
      <c r="X433" s="24"/>
      <c r="Y433" s="21"/>
      <c r="Z433" s="24"/>
    </row>
    <row r="434">
      <c r="A434" s="21" t="s">
        <v>888</v>
      </c>
      <c r="B434" s="21" t="s">
        <v>889</v>
      </c>
      <c r="C434" s="22">
        <v>45204.0</v>
      </c>
      <c r="D434" s="22" t="str">
        <f t="shared" si="1"/>
        <v>10.2023</v>
      </c>
      <c r="E434" s="22">
        <v>45216.0</v>
      </c>
      <c r="F434" s="21" t="s">
        <v>38</v>
      </c>
      <c r="G434" s="23">
        <v>0.1</v>
      </c>
      <c r="H434" s="24">
        <v>37.0</v>
      </c>
      <c r="I434" s="24">
        <v>1.0</v>
      </c>
      <c r="J434" s="24">
        <v>14.0</v>
      </c>
      <c r="K434" s="21" t="s">
        <v>32</v>
      </c>
      <c r="L434" s="21" t="s">
        <v>47</v>
      </c>
      <c r="M434" s="24">
        <v>1.0</v>
      </c>
      <c r="X434" s="24"/>
      <c r="Y434" s="21"/>
      <c r="Z434" s="24"/>
    </row>
    <row r="435">
      <c r="A435" s="21" t="s">
        <v>890</v>
      </c>
      <c r="B435" s="21" t="s">
        <v>891</v>
      </c>
      <c r="C435" s="22">
        <v>45136.0</v>
      </c>
      <c r="D435" s="22" t="str">
        <f t="shared" si="1"/>
        <v>07.2023</v>
      </c>
      <c r="E435" s="22">
        <v>45148.0</v>
      </c>
      <c r="F435" s="21" t="s">
        <v>38</v>
      </c>
      <c r="G435" s="23">
        <v>1.3</v>
      </c>
      <c r="H435" s="24">
        <v>8.0</v>
      </c>
      <c r="I435" s="24">
        <v>1.0</v>
      </c>
      <c r="J435" s="24">
        <v>15.0</v>
      </c>
      <c r="K435" s="21" t="s">
        <v>19</v>
      </c>
      <c r="L435" s="21" t="s">
        <v>26</v>
      </c>
      <c r="M435" s="24">
        <v>1.0</v>
      </c>
      <c r="X435" s="24"/>
      <c r="Y435" s="21"/>
      <c r="Z435" s="24"/>
    </row>
    <row r="436">
      <c r="A436" s="21" t="s">
        <v>892</v>
      </c>
      <c r="B436" s="21" t="s">
        <v>893</v>
      </c>
      <c r="C436" s="22">
        <v>45272.0</v>
      </c>
      <c r="D436" s="22" t="str">
        <f t="shared" si="1"/>
        <v>12.2023</v>
      </c>
      <c r="E436" s="22">
        <v>45284.0</v>
      </c>
      <c r="F436" s="21" t="s">
        <v>29</v>
      </c>
      <c r="G436" s="23">
        <v>3.6</v>
      </c>
      <c r="H436" s="24">
        <v>82.0</v>
      </c>
      <c r="I436" s="24">
        <v>1.0</v>
      </c>
      <c r="J436" s="24">
        <v>33.0</v>
      </c>
      <c r="K436" s="21" t="s">
        <v>23</v>
      </c>
      <c r="L436" s="21" t="s">
        <v>47</v>
      </c>
      <c r="M436" s="24">
        <v>1.0</v>
      </c>
      <c r="X436" s="24"/>
      <c r="Y436" s="21"/>
      <c r="Z436" s="24"/>
    </row>
    <row r="437">
      <c r="A437" s="21" t="s">
        <v>894</v>
      </c>
      <c r="B437" s="21" t="s">
        <v>895</v>
      </c>
      <c r="C437" s="22">
        <v>45005.0</v>
      </c>
      <c r="D437" s="22" t="str">
        <f t="shared" si="1"/>
        <v>03.2023</v>
      </c>
      <c r="E437" s="22">
        <v>45017.0</v>
      </c>
      <c r="F437" s="21" t="s">
        <v>29</v>
      </c>
      <c r="G437" s="23">
        <v>0.2</v>
      </c>
      <c r="H437" s="24">
        <v>39.0</v>
      </c>
      <c r="I437" s="24">
        <v>0.0</v>
      </c>
      <c r="J437" s="24">
        <v>30.0</v>
      </c>
      <c r="K437" s="21" t="s">
        <v>32</v>
      </c>
      <c r="L437" s="21" t="s">
        <v>16</v>
      </c>
      <c r="M437" s="24">
        <v>1.0</v>
      </c>
      <c r="X437" s="24"/>
      <c r="Y437" s="21"/>
      <c r="Z437" s="24"/>
    </row>
    <row r="438">
      <c r="A438" s="21" t="s">
        <v>896</v>
      </c>
      <c r="B438" s="21" t="s">
        <v>897</v>
      </c>
      <c r="C438" s="22">
        <v>45013.0</v>
      </c>
      <c r="D438" s="22" t="str">
        <f t="shared" si="1"/>
        <v>03.2023</v>
      </c>
      <c r="E438" s="22">
        <v>45025.0</v>
      </c>
      <c r="F438" s="21" t="s">
        <v>38</v>
      </c>
      <c r="G438" s="23">
        <v>1.0</v>
      </c>
      <c r="H438" s="24">
        <v>35.0</v>
      </c>
      <c r="I438" s="24">
        <v>0.0</v>
      </c>
      <c r="J438" s="24">
        <v>43.0</v>
      </c>
      <c r="K438" s="21" t="s">
        <v>32</v>
      </c>
      <c r="L438" s="21" t="s">
        <v>47</v>
      </c>
      <c r="M438" s="24">
        <v>1.0</v>
      </c>
      <c r="X438" s="24"/>
      <c r="Y438" s="21"/>
      <c r="Z438" s="24"/>
    </row>
    <row r="439">
      <c r="A439" s="21" t="s">
        <v>898</v>
      </c>
      <c r="B439" s="21" t="s">
        <v>899</v>
      </c>
      <c r="C439" s="22">
        <v>45134.0</v>
      </c>
      <c r="D439" s="22" t="str">
        <f t="shared" si="1"/>
        <v>07.2023</v>
      </c>
      <c r="E439" s="22">
        <v>45146.0</v>
      </c>
      <c r="F439" s="21" t="s">
        <v>14</v>
      </c>
      <c r="G439" s="23">
        <v>0.3</v>
      </c>
      <c r="H439" s="24">
        <v>54.0</v>
      </c>
      <c r="I439" s="24">
        <v>1.0</v>
      </c>
      <c r="J439" s="24">
        <v>16.0</v>
      </c>
      <c r="K439" s="21" t="s">
        <v>19</v>
      </c>
      <c r="L439" s="21" t="s">
        <v>47</v>
      </c>
      <c r="M439" s="24">
        <v>1.0</v>
      </c>
      <c r="X439" s="24"/>
      <c r="Y439" s="21"/>
      <c r="Z439" s="24"/>
    </row>
    <row r="440">
      <c r="A440" s="21" t="s">
        <v>900</v>
      </c>
      <c r="B440" s="21" t="s">
        <v>901</v>
      </c>
      <c r="C440" s="22">
        <v>45169.0</v>
      </c>
      <c r="D440" s="22" t="str">
        <f t="shared" si="1"/>
        <v>08.2023</v>
      </c>
      <c r="E440" s="22">
        <v>45181.0</v>
      </c>
      <c r="F440" s="21" t="s">
        <v>22</v>
      </c>
      <c r="G440" s="23">
        <v>1.6</v>
      </c>
      <c r="H440" s="24">
        <v>46.0</v>
      </c>
      <c r="I440" s="24">
        <v>0.0</v>
      </c>
      <c r="J440" s="24">
        <v>45.0</v>
      </c>
      <c r="K440" s="21" t="s">
        <v>15</v>
      </c>
      <c r="L440" s="21" t="s">
        <v>47</v>
      </c>
      <c r="M440" s="24">
        <v>1.0</v>
      </c>
      <c r="X440" s="24"/>
      <c r="Y440" s="21"/>
      <c r="Z440" s="24"/>
    </row>
    <row r="441">
      <c r="A441" s="21" t="s">
        <v>902</v>
      </c>
      <c r="B441" s="21" t="s">
        <v>903</v>
      </c>
      <c r="C441" s="22">
        <v>45237.0</v>
      </c>
      <c r="D441" s="22" t="str">
        <f t="shared" si="1"/>
        <v>11.2023</v>
      </c>
      <c r="E441" s="22">
        <v>45249.0</v>
      </c>
      <c r="F441" s="21" t="s">
        <v>29</v>
      </c>
      <c r="G441" s="23">
        <v>3.7</v>
      </c>
      <c r="H441" s="24">
        <v>5.0</v>
      </c>
      <c r="I441" s="24">
        <v>1.0</v>
      </c>
      <c r="J441" s="24">
        <v>21.0</v>
      </c>
      <c r="K441" s="21" t="s">
        <v>23</v>
      </c>
      <c r="L441" s="21" t="s">
        <v>47</v>
      </c>
      <c r="M441" s="24">
        <v>1.0</v>
      </c>
      <c r="X441" s="24"/>
      <c r="Y441" s="21"/>
      <c r="Z441" s="24"/>
    </row>
    <row r="442">
      <c r="A442" s="21" t="s">
        <v>904</v>
      </c>
      <c r="B442" s="21" t="s">
        <v>905</v>
      </c>
      <c r="C442" s="22">
        <v>45207.0</v>
      </c>
      <c r="D442" s="22" t="str">
        <f t="shared" si="1"/>
        <v>10.2023</v>
      </c>
      <c r="E442" s="22">
        <v>45219.0</v>
      </c>
      <c r="F442" s="21" t="s">
        <v>38</v>
      </c>
      <c r="G442" s="23">
        <v>1.4</v>
      </c>
      <c r="H442" s="24">
        <v>78.0</v>
      </c>
      <c r="I442" s="24">
        <v>1.0</v>
      </c>
      <c r="J442" s="24">
        <v>41.0</v>
      </c>
      <c r="K442" s="21" t="s">
        <v>35</v>
      </c>
      <c r="L442" s="21" t="s">
        <v>47</v>
      </c>
      <c r="M442" s="24">
        <v>1.0</v>
      </c>
      <c r="X442" s="24"/>
      <c r="Y442" s="21"/>
      <c r="Z442" s="24"/>
    </row>
    <row r="443">
      <c r="A443" s="21" t="s">
        <v>906</v>
      </c>
      <c r="B443" s="21" t="s">
        <v>907</v>
      </c>
      <c r="C443" s="22">
        <v>45252.0</v>
      </c>
      <c r="D443" s="22" t="str">
        <f t="shared" si="1"/>
        <v>11.2023</v>
      </c>
      <c r="E443" s="22">
        <v>45264.0</v>
      </c>
      <c r="F443" s="21" t="s">
        <v>22</v>
      </c>
      <c r="G443" s="23">
        <v>4.6</v>
      </c>
      <c r="H443" s="24">
        <v>62.0</v>
      </c>
      <c r="I443" s="24">
        <v>0.0</v>
      </c>
      <c r="J443" s="24">
        <v>28.0</v>
      </c>
      <c r="K443" s="21" t="s">
        <v>32</v>
      </c>
      <c r="L443" s="21" t="s">
        <v>16</v>
      </c>
      <c r="M443" s="24">
        <v>1.0</v>
      </c>
      <c r="X443" s="24"/>
      <c r="Y443" s="21"/>
      <c r="Z443" s="24"/>
    </row>
    <row r="444">
      <c r="A444" s="21" t="s">
        <v>908</v>
      </c>
      <c r="B444" s="21" t="s">
        <v>909</v>
      </c>
      <c r="C444" s="22">
        <v>45162.0</v>
      </c>
      <c r="D444" s="22" t="str">
        <f t="shared" si="1"/>
        <v>08.2023</v>
      </c>
      <c r="E444" s="22">
        <v>45174.0</v>
      </c>
      <c r="F444" s="21" t="s">
        <v>29</v>
      </c>
      <c r="G444" s="23">
        <v>4.7</v>
      </c>
      <c r="H444" s="24">
        <v>6.0</v>
      </c>
      <c r="I444" s="24">
        <v>1.0</v>
      </c>
      <c r="J444" s="24">
        <v>17.0</v>
      </c>
      <c r="K444" s="21" t="s">
        <v>15</v>
      </c>
      <c r="L444" s="21" t="s">
        <v>16</v>
      </c>
      <c r="M444" s="24">
        <v>1.0</v>
      </c>
      <c r="X444" s="24"/>
      <c r="Y444" s="21"/>
      <c r="Z444" s="24"/>
    </row>
    <row r="445">
      <c r="A445" s="21" t="s">
        <v>910</v>
      </c>
      <c r="B445" s="21" t="s">
        <v>911</v>
      </c>
      <c r="C445" s="22">
        <v>44933.0</v>
      </c>
      <c r="D445" s="22" t="str">
        <f t="shared" si="1"/>
        <v>01.2023</v>
      </c>
      <c r="E445" s="22">
        <v>44945.0</v>
      </c>
      <c r="F445" s="21" t="s">
        <v>29</v>
      </c>
      <c r="G445" s="23">
        <v>3.0</v>
      </c>
      <c r="H445" s="24">
        <v>69.0</v>
      </c>
      <c r="I445" s="24">
        <v>0.0</v>
      </c>
      <c r="J445" s="24">
        <v>24.0</v>
      </c>
      <c r="K445" s="21" t="s">
        <v>19</v>
      </c>
      <c r="L445" s="21" t="s">
        <v>26</v>
      </c>
      <c r="M445" s="24">
        <v>0.0</v>
      </c>
      <c r="X445" s="24"/>
      <c r="Y445" s="21"/>
      <c r="Z445" s="24"/>
    </row>
    <row r="446">
      <c r="A446" s="21" t="s">
        <v>912</v>
      </c>
      <c r="B446" s="21" t="s">
        <v>913</v>
      </c>
      <c r="C446" s="22">
        <v>44988.0</v>
      </c>
      <c r="D446" s="22" t="str">
        <f t="shared" si="1"/>
        <v>03.2023</v>
      </c>
      <c r="E446" s="22">
        <v>45000.0</v>
      </c>
      <c r="F446" s="21" t="s">
        <v>29</v>
      </c>
      <c r="G446" s="23">
        <v>3.1</v>
      </c>
      <c r="H446" s="24">
        <v>92.0</v>
      </c>
      <c r="I446" s="24">
        <v>1.0</v>
      </c>
      <c r="J446" s="24">
        <v>26.0</v>
      </c>
      <c r="K446" s="21" t="s">
        <v>32</v>
      </c>
      <c r="L446" s="21" t="s">
        <v>16</v>
      </c>
      <c r="M446" s="24">
        <v>1.0</v>
      </c>
      <c r="X446" s="24"/>
      <c r="Y446" s="21"/>
      <c r="Z446" s="24"/>
    </row>
    <row r="447">
      <c r="A447" s="21" t="s">
        <v>914</v>
      </c>
      <c r="B447" s="21" t="s">
        <v>915</v>
      </c>
      <c r="C447" s="22">
        <v>44968.0</v>
      </c>
      <c r="D447" s="22" t="str">
        <f t="shared" si="1"/>
        <v>02.2023</v>
      </c>
      <c r="E447" s="22">
        <v>44980.0</v>
      </c>
      <c r="F447" s="21" t="s">
        <v>22</v>
      </c>
      <c r="G447" s="23">
        <v>3.3</v>
      </c>
      <c r="H447" s="24">
        <v>45.0</v>
      </c>
      <c r="I447" s="24">
        <v>1.0</v>
      </c>
      <c r="J447" s="24">
        <v>56.0</v>
      </c>
      <c r="K447" s="21" t="s">
        <v>19</v>
      </c>
      <c r="L447" s="21" t="s">
        <v>26</v>
      </c>
      <c r="M447" s="24">
        <v>1.0</v>
      </c>
      <c r="X447" s="24"/>
      <c r="Y447" s="21"/>
      <c r="Z447" s="24"/>
    </row>
    <row r="448">
      <c r="A448" s="21" t="s">
        <v>916</v>
      </c>
      <c r="B448" s="21" t="s">
        <v>917</v>
      </c>
      <c r="C448" s="22">
        <v>45115.0</v>
      </c>
      <c r="D448" s="22" t="str">
        <f t="shared" si="1"/>
        <v>07.2023</v>
      </c>
      <c r="E448" s="22">
        <v>45127.0</v>
      </c>
      <c r="F448" s="21" t="s">
        <v>14</v>
      </c>
      <c r="G448" s="23">
        <v>4.0</v>
      </c>
      <c r="H448" s="24">
        <v>31.0</v>
      </c>
      <c r="I448" s="24">
        <v>1.0</v>
      </c>
      <c r="J448" s="24">
        <v>19.0</v>
      </c>
      <c r="K448" s="21" t="s">
        <v>32</v>
      </c>
      <c r="L448" s="21" t="s">
        <v>47</v>
      </c>
      <c r="M448" s="24">
        <v>1.0</v>
      </c>
      <c r="X448" s="24"/>
      <c r="Y448" s="21"/>
      <c r="Z448" s="24"/>
    </row>
    <row r="449">
      <c r="A449" s="21" t="s">
        <v>918</v>
      </c>
      <c r="B449" s="21" t="s">
        <v>919</v>
      </c>
      <c r="C449" s="22">
        <v>45034.0</v>
      </c>
      <c r="D449" s="22" t="str">
        <f t="shared" si="1"/>
        <v>04.2023</v>
      </c>
      <c r="E449" s="22">
        <v>45046.0</v>
      </c>
      <c r="F449" s="21" t="s">
        <v>29</v>
      </c>
      <c r="G449" s="23">
        <v>4.5</v>
      </c>
      <c r="H449" s="24">
        <v>13.0</v>
      </c>
      <c r="I449" s="24">
        <v>1.0</v>
      </c>
      <c r="J449" s="24">
        <v>29.0</v>
      </c>
      <c r="K449" s="21" t="s">
        <v>23</v>
      </c>
      <c r="L449" s="21" t="s">
        <v>16</v>
      </c>
      <c r="M449" s="24">
        <v>1.0</v>
      </c>
      <c r="X449" s="24"/>
      <c r="Y449" s="21"/>
      <c r="Z449" s="24"/>
    </row>
    <row r="450">
      <c r="A450" s="21" t="s">
        <v>920</v>
      </c>
      <c r="B450" s="21" t="s">
        <v>921</v>
      </c>
      <c r="C450" s="22">
        <v>45102.0</v>
      </c>
      <c r="D450" s="22" t="str">
        <f t="shared" si="1"/>
        <v>06.2023</v>
      </c>
      <c r="E450" s="22">
        <v>45114.0</v>
      </c>
      <c r="F450" s="21" t="s">
        <v>22</v>
      </c>
      <c r="G450" s="23">
        <v>0.0</v>
      </c>
      <c r="H450" s="24">
        <v>83.0</v>
      </c>
      <c r="I450" s="24">
        <v>1.0</v>
      </c>
      <c r="J450" s="24">
        <v>44.0</v>
      </c>
      <c r="K450" s="21" t="s">
        <v>35</v>
      </c>
      <c r="L450" s="21" t="s">
        <v>47</v>
      </c>
      <c r="M450" s="24">
        <v>1.0</v>
      </c>
      <c r="X450" s="24"/>
      <c r="Y450" s="21"/>
      <c r="Z450" s="24"/>
    </row>
    <row r="451">
      <c r="A451" s="21" t="s">
        <v>922</v>
      </c>
      <c r="B451" s="21" t="s">
        <v>923</v>
      </c>
      <c r="C451" s="22">
        <v>45067.0</v>
      </c>
      <c r="D451" s="22" t="str">
        <f t="shared" si="1"/>
        <v>05.2023</v>
      </c>
      <c r="E451" s="22">
        <v>45079.0</v>
      </c>
      <c r="F451" s="21" t="s">
        <v>38</v>
      </c>
      <c r="G451" s="23">
        <v>2.7</v>
      </c>
      <c r="H451" s="24">
        <v>11.0</v>
      </c>
      <c r="I451" s="24">
        <v>1.0</v>
      </c>
      <c r="J451" s="24">
        <v>51.0</v>
      </c>
      <c r="K451" s="21" t="s">
        <v>19</v>
      </c>
      <c r="L451" s="21" t="s">
        <v>26</v>
      </c>
      <c r="M451" s="24">
        <v>1.0</v>
      </c>
      <c r="X451" s="24"/>
      <c r="Y451" s="21"/>
      <c r="Z451" s="24"/>
    </row>
    <row r="452">
      <c r="A452" s="21" t="s">
        <v>924</v>
      </c>
      <c r="B452" s="21" t="s">
        <v>925</v>
      </c>
      <c r="C452" s="22">
        <v>45228.0</v>
      </c>
      <c r="D452" s="22" t="str">
        <f t="shared" si="1"/>
        <v>10.2023</v>
      </c>
      <c r="E452" s="22">
        <v>45240.0</v>
      </c>
      <c r="F452" s="21" t="s">
        <v>29</v>
      </c>
      <c r="G452" s="23">
        <v>0.5</v>
      </c>
      <c r="H452" s="24">
        <v>65.0</v>
      </c>
      <c r="I452" s="24">
        <v>1.0</v>
      </c>
      <c r="J452" s="24">
        <v>44.0</v>
      </c>
      <c r="K452" s="21" t="s">
        <v>32</v>
      </c>
      <c r="L452" s="21" t="s">
        <v>16</v>
      </c>
      <c r="M452" s="24">
        <v>1.0</v>
      </c>
      <c r="X452" s="24"/>
      <c r="Y452" s="21"/>
      <c r="Z452" s="24"/>
    </row>
    <row r="453">
      <c r="A453" s="21" t="s">
        <v>926</v>
      </c>
      <c r="B453" s="21" t="s">
        <v>927</v>
      </c>
      <c r="C453" s="22">
        <v>44964.0</v>
      </c>
      <c r="D453" s="22" t="str">
        <f t="shared" si="1"/>
        <v>02.2023</v>
      </c>
      <c r="E453" s="22">
        <v>44976.0</v>
      </c>
      <c r="F453" s="21" t="s">
        <v>29</v>
      </c>
      <c r="G453" s="23">
        <v>1.2</v>
      </c>
      <c r="H453" s="24">
        <v>30.0</v>
      </c>
      <c r="I453" s="24">
        <v>1.0</v>
      </c>
      <c r="J453" s="24">
        <v>46.0</v>
      </c>
      <c r="K453" s="21" t="s">
        <v>15</v>
      </c>
      <c r="L453" s="21" t="s">
        <v>16</v>
      </c>
      <c r="M453" s="24">
        <v>0.0</v>
      </c>
      <c r="X453" s="24"/>
      <c r="Y453" s="21"/>
      <c r="Z453" s="24"/>
    </row>
    <row r="454">
      <c r="A454" s="21" t="s">
        <v>928</v>
      </c>
      <c r="B454" s="21" t="s">
        <v>929</v>
      </c>
      <c r="C454" s="22">
        <v>45265.0</v>
      </c>
      <c r="D454" s="22" t="str">
        <f t="shared" si="1"/>
        <v>12.2023</v>
      </c>
      <c r="E454" s="22">
        <v>45277.0</v>
      </c>
      <c r="F454" s="21" t="s">
        <v>29</v>
      </c>
      <c r="G454" s="23">
        <v>2.4</v>
      </c>
      <c r="H454" s="24">
        <v>59.0</v>
      </c>
      <c r="I454" s="24">
        <v>0.0</v>
      </c>
      <c r="J454" s="24">
        <v>17.0</v>
      </c>
      <c r="K454" s="21" t="s">
        <v>32</v>
      </c>
      <c r="L454" s="21" t="s">
        <v>26</v>
      </c>
      <c r="M454" s="24">
        <v>1.0</v>
      </c>
      <c r="X454" s="24"/>
      <c r="Y454" s="21"/>
      <c r="Z454" s="24"/>
    </row>
    <row r="455">
      <c r="A455" s="21" t="s">
        <v>930</v>
      </c>
      <c r="B455" s="21" t="s">
        <v>931</v>
      </c>
      <c r="C455" s="22">
        <v>45127.0</v>
      </c>
      <c r="D455" s="22" t="str">
        <f t="shared" si="1"/>
        <v>07.2023</v>
      </c>
      <c r="E455" s="22">
        <v>45139.0</v>
      </c>
      <c r="F455" s="21" t="s">
        <v>38</v>
      </c>
      <c r="G455" s="23">
        <v>4.3</v>
      </c>
      <c r="H455" s="24">
        <v>100.0</v>
      </c>
      <c r="I455" s="24">
        <v>0.0</v>
      </c>
      <c r="J455" s="24">
        <v>25.0</v>
      </c>
      <c r="K455" s="21" t="s">
        <v>32</v>
      </c>
      <c r="L455" s="21" t="s">
        <v>26</v>
      </c>
      <c r="M455" s="24">
        <v>0.0</v>
      </c>
      <c r="X455" s="24"/>
      <c r="Y455" s="21"/>
      <c r="Z455" s="24"/>
    </row>
    <row r="456">
      <c r="A456" s="21" t="s">
        <v>932</v>
      </c>
      <c r="B456" s="21" t="s">
        <v>933</v>
      </c>
      <c r="C456" s="22">
        <v>45236.0</v>
      </c>
      <c r="D456" s="22" t="str">
        <f t="shared" si="1"/>
        <v>11.2023</v>
      </c>
      <c r="E456" s="22">
        <v>45248.0</v>
      </c>
      <c r="F456" s="21" t="s">
        <v>14</v>
      </c>
      <c r="G456" s="23">
        <v>4.4</v>
      </c>
      <c r="H456" s="24">
        <v>89.0</v>
      </c>
      <c r="I456" s="24">
        <v>0.0</v>
      </c>
      <c r="J456" s="24">
        <v>50.0</v>
      </c>
      <c r="K456" s="21" t="s">
        <v>35</v>
      </c>
      <c r="L456" s="21" t="s">
        <v>16</v>
      </c>
      <c r="M456" s="24">
        <v>1.0</v>
      </c>
      <c r="X456" s="24"/>
      <c r="Y456" s="21"/>
      <c r="Z456" s="24"/>
    </row>
    <row r="457">
      <c r="A457" s="21" t="s">
        <v>934</v>
      </c>
      <c r="B457" s="21" t="s">
        <v>935</v>
      </c>
      <c r="C457" s="22">
        <v>44967.0</v>
      </c>
      <c r="D457" s="22" t="str">
        <f t="shared" si="1"/>
        <v>02.2023</v>
      </c>
      <c r="E457" s="22">
        <v>44979.0</v>
      </c>
      <c r="F457" s="21" t="s">
        <v>14</v>
      </c>
      <c r="G457" s="23">
        <v>3.8</v>
      </c>
      <c r="H457" s="24">
        <v>84.0</v>
      </c>
      <c r="I457" s="24">
        <v>0.0</v>
      </c>
      <c r="J457" s="24">
        <v>36.0</v>
      </c>
      <c r="K457" s="21" t="s">
        <v>15</v>
      </c>
      <c r="L457" s="21" t="s">
        <v>16</v>
      </c>
      <c r="M457" s="24">
        <v>1.0</v>
      </c>
      <c r="X457" s="24"/>
      <c r="Y457" s="21"/>
      <c r="Z457" s="24"/>
    </row>
    <row r="458">
      <c r="A458" s="21" t="s">
        <v>936</v>
      </c>
      <c r="B458" s="21" t="s">
        <v>937</v>
      </c>
      <c r="C458" s="22">
        <v>45183.0</v>
      </c>
      <c r="D458" s="22" t="str">
        <f t="shared" si="1"/>
        <v>09.2023</v>
      </c>
      <c r="E458" s="22">
        <v>45195.0</v>
      </c>
      <c r="F458" s="21" t="s">
        <v>38</v>
      </c>
      <c r="G458" s="23">
        <v>5.0</v>
      </c>
      <c r="H458" s="24">
        <v>53.0</v>
      </c>
      <c r="I458" s="24">
        <v>1.0</v>
      </c>
      <c r="J458" s="24">
        <v>18.0</v>
      </c>
      <c r="K458" s="21" t="s">
        <v>15</v>
      </c>
      <c r="L458" s="21" t="s">
        <v>26</v>
      </c>
      <c r="M458" s="24">
        <v>1.0</v>
      </c>
      <c r="X458" s="24"/>
      <c r="Y458" s="21"/>
      <c r="Z458" s="24"/>
    </row>
    <row r="459">
      <c r="A459" s="21" t="s">
        <v>938</v>
      </c>
      <c r="B459" s="21" t="s">
        <v>939</v>
      </c>
      <c r="C459" s="22">
        <v>45215.0</v>
      </c>
      <c r="D459" s="22" t="str">
        <f t="shared" si="1"/>
        <v>10.2023</v>
      </c>
      <c r="E459" s="22">
        <v>45227.0</v>
      </c>
      <c r="F459" s="21" t="s">
        <v>38</v>
      </c>
      <c r="G459" s="23">
        <v>2.1</v>
      </c>
      <c r="H459" s="24">
        <v>0.0</v>
      </c>
      <c r="I459" s="24">
        <v>0.0</v>
      </c>
      <c r="J459" s="24">
        <v>28.0</v>
      </c>
      <c r="K459" s="21" t="s">
        <v>15</v>
      </c>
      <c r="L459" s="21" t="s">
        <v>26</v>
      </c>
      <c r="M459" s="24">
        <v>1.0</v>
      </c>
      <c r="X459" s="24"/>
      <c r="Y459" s="21"/>
      <c r="Z459" s="24"/>
    </row>
    <row r="460">
      <c r="A460" s="21" t="s">
        <v>940</v>
      </c>
      <c r="B460" s="21" t="s">
        <v>941</v>
      </c>
      <c r="C460" s="22">
        <v>45171.0</v>
      </c>
      <c r="D460" s="22" t="str">
        <f t="shared" si="1"/>
        <v>09.2023</v>
      </c>
      <c r="E460" s="22">
        <v>45183.0</v>
      </c>
      <c r="F460" s="21" t="s">
        <v>38</v>
      </c>
      <c r="G460" s="23">
        <v>0.4</v>
      </c>
      <c r="H460" s="24">
        <v>97.0</v>
      </c>
      <c r="I460" s="24">
        <v>0.0</v>
      </c>
      <c r="J460" s="24">
        <v>53.0</v>
      </c>
      <c r="K460" s="21" t="s">
        <v>23</v>
      </c>
      <c r="L460" s="21" t="s">
        <v>16</v>
      </c>
      <c r="M460" s="24">
        <v>0.0</v>
      </c>
      <c r="X460" s="24"/>
      <c r="Y460" s="21"/>
      <c r="Z460" s="24"/>
    </row>
    <row r="461">
      <c r="A461" s="21" t="s">
        <v>942</v>
      </c>
      <c r="B461" s="21" t="s">
        <v>943</v>
      </c>
      <c r="C461" s="22">
        <v>44947.0</v>
      </c>
      <c r="D461" s="22" t="str">
        <f t="shared" si="1"/>
        <v>01.2023</v>
      </c>
      <c r="E461" s="22">
        <v>44959.0</v>
      </c>
      <c r="F461" s="21" t="s">
        <v>29</v>
      </c>
      <c r="G461" s="23">
        <v>1.9</v>
      </c>
      <c r="H461" s="24">
        <v>71.0</v>
      </c>
      <c r="I461" s="24">
        <v>0.0</v>
      </c>
      <c r="J461" s="24">
        <v>19.0</v>
      </c>
      <c r="K461" s="21" t="s">
        <v>15</v>
      </c>
      <c r="L461" s="21" t="s">
        <v>16</v>
      </c>
      <c r="M461" s="24">
        <v>1.0</v>
      </c>
      <c r="X461" s="24"/>
      <c r="Y461" s="21"/>
      <c r="Z461" s="24"/>
    </row>
    <row r="462">
      <c r="A462" s="21" t="s">
        <v>944</v>
      </c>
      <c r="B462" s="21" t="s">
        <v>945</v>
      </c>
      <c r="C462" s="22">
        <v>45176.0</v>
      </c>
      <c r="D462" s="22" t="str">
        <f t="shared" si="1"/>
        <v>09.2023</v>
      </c>
      <c r="E462" s="22">
        <v>45188.0</v>
      </c>
      <c r="F462" s="21" t="s">
        <v>38</v>
      </c>
      <c r="G462" s="23">
        <v>4.8</v>
      </c>
      <c r="H462" s="24">
        <v>86.0</v>
      </c>
      <c r="I462" s="24">
        <v>1.0</v>
      </c>
      <c r="J462" s="24">
        <v>43.0</v>
      </c>
      <c r="K462" s="21" t="s">
        <v>15</v>
      </c>
      <c r="L462" s="21" t="s">
        <v>16</v>
      </c>
      <c r="M462" s="24">
        <v>1.0</v>
      </c>
      <c r="X462" s="24"/>
      <c r="Y462" s="21"/>
      <c r="Z462" s="24"/>
    </row>
    <row r="463">
      <c r="A463" s="21" t="s">
        <v>946</v>
      </c>
      <c r="B463" s="21" t="s">
        <v>947</v>
      </c>
      <c r="C463" s="22">
        <v>45198.0</v>
      </c>
      <c r="D463" s="22" t="str">
        <f t="shared" si="1"/>
        <v>09.2023</v>
      </c>
      <c r="E463" s="22">
        <v>45210.0</v>
      </c>
      <c r="F463" s="21" t="s">
        <v>14</v>
      </c>
      <c r="G463" s="23">
        <v>0.6</v>
      </c>
      <c r="H463" s="24">
        <v>28.0</v>
      </c>
      <c r="I463" s="24">
        <v>0.0</v>
      </c>
      <c r="J463" s="24">
        <v>21.0</v>
      </c>
      <c r="K463" s="21" t="s">
        <v>19</v>
      </c>
      <c r="L463" s="21" t="s">
        <v>26</v>
      </c>
      <c r="M463" s="24">
        <v>1.0</v>
      </c>
      <c r="X463" s="24"/>
      <c r="Y463" s="21"/>
      <c r="Z463" s="24"/>
    </row>
    <row r="464">
      <c r="A464" s="21" t="s">
        <v>948</v>
      </c>
      <c r="B464" s="21" t="s">
        <v>949</v>
      </c>
      <c r="C464" s="22">
        <v>45206.0</v>
      </c>
      <c r="D464" s="22" t="str">
        <f t="shared" si="1"/>
        <v>10.2023</v>
      </c>
      <c r="E464" s="22">
        <v>45218.0</v>
      </c>
      <c r="F464" s="21" t="s">
        <v>29</v>
      </c>
      <c r="G464" s="23">
        <v>2.4</v>
      </c>
      <c r="H464" s="24">
        <v>33.0</v>
      </c>
      <c r="I464" s="24">
        <v>1.0</v>
      </c>
      <c r="J464" s="24">
        <v>40.0</v>
      </c>
      <c r="K464" s="21" t="s">
        <v>15</v>
      </c>
      <c r="L464" s="21" t="s">
        <v>47</v>
      </c>
      <c r="M464" s="24">
        <v>1.0</v>
      </c>
      <c r="X464" s="24"/>
      <c r="Y464" s="21"/>
      <c r="Z464" s="24"/>
    </row>
    <row r="465">
      <c r="A465" s="21" t="s">
        <v>950</v>
      </c>
      <c r="B465" s="21" t="s">
        <v>951</v>
      </c>
      <c r="C465" s="22">
        <v>44981.0</v>
      </c>
      <c r="D465" s="22" t="str">
        <f t="shared" si="1"/>
        <v>02.2023</v>
      </c>
      <c r="E465" s="22">
        <v>44993.0</v>
      </c>
      <c r="F465" s="21" t="s">
        <v>29</v>
      </c>
      <c r="G465" s="23">
        <v>2.1</v>
      </c>
      <c r="H465" s="24">
        <v>96.0</v>
      </c>
      <c r="I465" s="24">
        <v>0.0</v>
      </c>
      <c r="J465" s="24">
        <v>13.0</v>
      </c>
      <c r="K465" s="21" t="s">
        <v>23</v>
      </c>
      <c r="L465" s="21" t="s">
        <v>16</v>
      </c>
      <c r="M465" s="24">
        <v>0.0</v>
      </c>
      <c r="X465" s="24"/>
      <c r="Y465" s="21"/>
      <c r="Z465" s="24"/>
    </row>
    <row r="466">
      <c r="A466" s="21" t="s">
        <v>952</v>
      </c>
      <c r="B466" s="21" t="s">
        <v>953</v>
      </c>
      <c r="C466" s="22">
        <v>45291.0</v>
      </c>
      <c r="D466" s="22" t="str">
        <f t="shared" si="1"/>
        <v>12.2023</v>
      </c>
      <c r="E466" s="22">
        <v>45303.0</v>
      </c>
      <c r="F466" s="21" t="s">
        <v>22</v>
      </c>
      <c r="G466" s="23">
        <v>3.2</v>
      </c>
      <c r="H466" s="24">
        <v>66.0</v>
      </c>
      <c r="I466" s="24">
        <v>1.0</v>
      </c>
      <c r="J466" s="24">
        <v>33.0</v>
      </c>
      <c r="K466" s="21" t="s">
        <v>19</v>
      </c>
      <c r="L466" s="21" t="s">
        <v>16</v>
      </c>
      <c r="M466" s="24">
        <v>1.0</v>
      </c>
      <c r="X466" s="24"/>
      <c r="Y466" s="21"/>
      <c r="Z466" s="24"/>
    </row>
    <row r="467">
      <c r="A467" s="21" t="s">
        <v>954</v>
      </c>
      <c r="B467" s="21" t="s">
        <v>955</v>
      </c>
      <c r="C467" s="22">
        <v>45270.0</v>
      </c>
      <c r="D467" s="22" t="str">
        <f t="shared" si="1"/>
        <v>12.2023</v>
      </c>
      <c r="E467" s="22">
        <v>45282.0</v>
      </c>
      <c r="F467" s="21" t="s">
        <v>29</v>
      </c>
      <c r="G467" s="23">
        <v>4.6</v>
      </c>
      <c r="H467" s="24">
        <v>56.0</v>
      </c>
      <c r="I467" s="24">
        <v>0.0</v>
      </c>
      <c r="J467" s="24">
        <v>48.0</v>
      </c>
      <c r="K467" s="21" t="s">
        <v>32</v>
      </c>
      <c r="L467" s="21" t="s">
        <v>26</v>
      </c>
      <c r="M467" s="24">
        <v>1.0</v>
      </c>
      <c r="X467" s="24"/>
      <c r="Y467" s="21"/>
      <c r="Z467" s="24"/>
    </row>
    <row r="468">
      <c r="A468" s="21" t="s">
        <v>956</v>
      </c>
      <c r="B468" s="21" t="s">
        <v>957</v>
      </c>
      <c r="C468" s="22">
        <v>44936.0</v>
      </c>
      <c r="D468" s="22" t="str">
        <f t="shared" si="1"/>
        <v>01.2023</v>
      </c>
      <c r="E468" s="22">
        <v>44948.0</v>
      </c>
      <c r="F468" s="21" t="s">
        <v>29</v>
      </c>
      <c r="G468" s="23">
        <v>2.6</v>
      </c>
      <c r="H468" s="24">
        <v>21.0</v>
      </c>
      <c r="I468" s="24">
        <v>0.0</v>
      </c>
      <c r="J468" s="24">
        <v>12.0</v>
      </c>
      <c r="K468" s="21" t="s">
        <v>35</v>
      </c>
      <c r="L468" s="21" t="s">
        <v>47</v>
      </c>
      <c r="M468" s="24">
        <v>1.0</v>
      </c>
      <c r="X468" s="24"/>
      <c r="Y468" s="21"/>
      <c r="Z468" s="24"/>
    </row>
    <row r="469">
      <c r="A469" s="21" t="s">
        <v>958</v>
      </c>
      <c r="B469" s="21" t="s">
        <v>959</v>
      </c>
      <c r="C469" s="22">
        <v>45036.0</v>
      </c>
      <c r="D469" s="22" t="str">
        <f t="shared" si="1"/>
        <v>04.2023</v>
      </c>
      <c r="E469" s="22">
        <v>45048.0</v>
      </c>
      <c r="F469" s="21" t="s">
        <v>38</v>
      </c>
      <c r="G469" s="23">
        <v>1.7</v>
      </c>
      <c r="H469" s="24">
        <v>60.0</v>
      </c>
      <c r="I469" s="24">
        <v>1.0</v>
      </c>
      <c r="J469" s="24">
        <v>31.0</v>
      </c>
      <c r="K469" s="21" t="s">
        <v>23</v>
      </c>
      <c r="L469" s="21" t="s">
        <v>47</v>
      </c>
      <c r="M469" s="24">
        <v>1.0</v>
      </c>
      <c r="X469" s="24"/>
      <c r="Y469" s="21"/>
      <c r="Z469" s="24"/>
    </row>
    <row r="470">
      <c r="A470" s="21" t="s">
        <v>960</v>
      </c>
      <c r="B470" s="21" t="s">
        <v>961</v>
      </c>
      <c r="C470" s="22">
        <v>45288.0</v>
      </c>
      <c r="D470" s="22" t="str">
        <f t="shared" si="1"/>
        <v>12.2023</v>
      </c>
      <c r="E470" s="22">
        <v>45300.0</v>
      </c>
      <c r="F470" s="21" t="s">
        <v>38</v>
      </c>
      <c r="G470" s="23">
        <v>2.0</v>
      </c>
      <c r="H470" s="24">
        <v>91.0</v>
      </c>
      <c r="I470" s="24">
        <v>0.0</v>
      </c>
      <c r="J470" s="24">
        <v>34.0</v>
      </c>
      <c r="K470" s="21" t="s">
        <v>35</v>
      </c>
      <c r="L470" s="21" t="s">
        <v>26</v>
      </c>
      <c r="M470" s="24">
        <v>1.0</v>
      </c>
      <c r="X470" s="24"/>
      <c r="Y470" s="21"/>
      <c r="Z470" s="24"/>
    </row>
    <row r="471">
      <c r="A471" s="21" t="s">
        <v>962</v>
      </c>
      <c r="B471" s="21" t="s">
        <v>963</v>
      </c>
      <c r="C471" s="22">
        <v>44997.0</v>
      </c>
      <c r="D471" s="22" t="str">
        <f t="shared" si="1"/>
        <v>03.2023</v>
      </c>
      <c r="E471" s="22">
        <v>45009.0</v>
      </c>
      <c r="F471" s="21" t="s">
        <v>38</v>
      </c>
      <c r="G471" s="23">
        <v>0.7</v>
      </c>
      <c r="H471" s="24">
        <v>90.0</v>
      </c>
      <c r="I471" s="24">
        <v>0.0</v>
      </c>
      <c r="J471" s="24">
        <v>45.0</v>
      </c>
      <c r="K471" s="21" t="s">
        <v>32</v>
      </c>
      <c r="L471" s="21" t="s">
        <v>47</v>
      </c>
      <c r="M471" s="24">
        <v>0.0</v>
      </c>
      <c r="X471" s="24"/>
      <c r="Y471" s="21"/>
      <c r="Z471" s="24"/>
    </row>
    <row r="472">
      <c r="A472" s="21" t="s">
        <v>964</v>
      </c>
      <c r="B472" s="21" t="s">
        <v>965</v>
      </c>
      <c r="C472" s="22">
        <v>45090.0</v>
      </c>
      <c r="D472" s="22" t="str">
        <f t="shared" si="1"/>
        <v>06.2023</v>
      </c>
      <c r="E472" s="22">
        <v>45102.0</v>
      </c>
      <c r="F472" s="21" t="s">
        <v>38</v>
      </c>
      <c r="G472" s="23">
        <v>3.5</v>
      </c>
      <c r="H472" s="24">
        <v>43.0</v>
      </c>
      <c r="I472" s="24">
        <v>0.0</v>
      </c>
      <c r="J472" s="24">
        <v>39.0</v>
      </c>
      <c r="K472" s="21" t="s">
        <v>35</v>
      </c>
      <c r="L472" s="21" t="s">
        <v>26</v>
      </c>
      <c r="M472" s="24">
        <v>1.0</v>
      </c>
      <c r="X472" s="24"/>
      <c r="Y472" s="21"/>
      <c r="Z472" s="24"/>
    </row>
    <row r="473">
      <c r="A473" s="21" t="s">
        <v>966</v>
      </c>
      <c r="B473" s="21" t="s">
        <v>967</v>
      </c>
      <c r="C473" s="22">
        <v>45138.0</v>
      </c>
      <c r="D473" s="22" t="str">
        <f t="shared" si="1"/>
        <v>07.2023</v>
      </c>
      <c r="E473" s="22">
        <v>45150.0</v>
      </c>
      <c r="F473" s="21" t="s">
        <v>22</v>
      </c>
      <c r="G473" s="23">
        <v>3.9</v>
      </c>
      <c r="H473" s="24">
        <v>67.0</v>
      </c>
      <c r="I473" s="24">
        <v>1.0</v>
      </c>
      <c r="J473" s="24">
        <v>23.0</v>
      </c>
      <c r="K473" s="21" t="s">
        <v>19</v>
      </c>
      <c r="L473" s="21" t="s">
        <v>47</v>
      </c>
      <c r="M473" s="24">
        <v>1.0</v>
      </c>
      <c r="X473" s="24"/>
      <c r="Y473" s="21"/>
      <c r="Z473" s="24"/>
    </row>
    <row r="474">
      <c r="A474" s="21" t="s">
        <v>968</v>
      </c>
      <c r="B474" s="21" t="s">
        <v>969</v>
      </c>
      <c r="C474" s="22">
        <v>45248.0</v>
      </c>
      <c r="D474" s="22" t="str">
        <f t="shared" si="1"/>
        <v>11.2023</v>
      </c>
      <c r="E474" s="22">
        <v>45260.0</v>
      </c>
      <c r="F474" s="21" t="s">
        <v>14</v>
      </c>
      <c r="G474" s="23">
        <v>4.0</v>
      </c>
      <c r="H474" s="24">
        <v>98.0</v>
      </c>
      <c r="I474" s="24">
        <v>1.0</v>
      </c>
      <c r="J474" s="24">
        <v>51.0</v>
      </c>
      <c r="K474" s="21" t="s">
        <v>23</v>
      </c>
      <c r="L474" s="21" t="s">
        <v>26</v>
      </c>
      <c r="M474" s="24">
        <v>1.0</v>
      </c>
      <c r="X474" s="24"/>
      <c r="Y474" s="21"/>
      <c r="Z474" s="24"/>
    </row>
    <row r="475">
      <c r="A475" s="21" t="s">
        <v>970</v>
      </c>
      <c r="B475" s="21" t="s">
        <v>971</v>
      </c>
      <c r="C475" s="22">
        <v>45216.0</v>
      </c>
      <c r="D475" s="22" t="str">
        <f t="shared" si="1"/>
        <v>10.2023</v>
      </c>
      <c r="E475" s="22">
        <v>45228.0</v>
      </c>
      <c r="F475" s="21" t="s">
        <v>22</v>
      </c>
      <c r="G475" s="23">
        <v>3.6</v>
      </c>
      <c r="H475" s="24">
        <v>34.0</v>
      </c>
      <c r="I475" s="24">
        <v>1.0</v>
      </c>
      <c r="J475" s="24">
        <v>14.0</v>
      </c>
      <c r="K475" s="21" t="s">
        <v>35</v>
      </c>
      <c r="L475" s="21" t="s">
        <v>16</v>
      </c>
      <c r="M475" s="24">
        <v>0.0</v>
      </c>
      <c r="X475" s="24"/>
      <c r="Y475" s="21"/>
      <c r="Z475" s="24"/>
    </row>
    <row r="476">
      <c r="A476" s="21" t="s">
        <v>972</v>
      </c>
      <c r="B476" s="21" t="s">
        <v>973</v>
      </c>
      <c r="C476" s="22">
        <v>45028.0</v>
      </c>
      <c r="D476" s="22" t="str">
        <f t="shared" si="1"/>
        <v>04.2023</v>
      </c>
      <c r="E476" s="22">
        <v>45040.0</v>
      </c>
      <c r="F476" s="21" t="s">
        <v>29</v>
      </c>
      <c r="G476" s="23">
        <v>0.4</v>
      </c>
      <c r="H476" s="24">
        <v>44.0</v>
      </c>
      <c r="I476" s="24">
        <v>0.0</v>
      </c>
      <c r="J476" s="24">
        <v>42.0</v>
      </c>
      <c r="K476" s="21" t="s">
        <v>35</v>
      </c>
      <c r="L476" s="21" t="s">
        <v>16</v>
      </c>
      <c r="M476" s="24">
        <v>1.0</v>
      </c>
      <c r="X476" s="24"/>
      <c r="Y476" s="21"/>
      <c r="Z476" s="24"/>
    </row>
    <row r="477">
      <c r="A477" s="21" t="s">
        <v>974</v>
      </c>
      <c r="B477" s="21" t="s">
        <v>975</v>
      </c>
      <c r="C477" s="22">
        <v>45280.0</v>
      </c>
      <c r="D477" s="22" t="str">
        <f t="shared" si="1"/>
        <v>12.2023</v>
      </c>
      <c r="E477" s="22">
        <v>45292.0</v>
      </c>
      <c r="F477" s="21" t="s">
        <v>38</v>
      </c>
      <c r="G477" s="23">
        <v>0.3</v>
      </c>
      <c r="H477" s="24">
        <v>20.0</v>
      </c>
      <c r="I477" s="24">
        <v>1.0</v>
      </c>
      <c r="J477" s="24">
        <v>52.0</v>
      </c>
      <c r="K477" s="21" t="s">
        <v>35</v>
      </c>
      <c r="L477" s="21" t="s">
        <v>16</v>
      </c>
      <c r="M477" s="24">
        <v>0.0</v>
      </c>
      <c r="X477" s="24"/>
      <c r="Y477" s="21"/>
      <c r="Z477" s="24"/>
    </row>
    <row r="478">
      <c r="A478" s="21" t="s">
        <v>976</v>
      </c>
      <c r="B478" s="21" t="s">
        <v>977</v>
      </c>
      <c r="C478" s="22">
        <v>45058.0</v>
      </c>
      <c r="D478" s="22" t="str">
        <f t="shared" si="1"/>
        <v>05.2023</v>
      </c>
      <c r="E478" s="22">
        <v>45070.0</v>
      </c>
      <c r="F478" s="21" t="s">
        <v>38</v>
      </c>
      <c r="G478" s="23">
        <v>0.9</v>
      </c>
      <c r="H478" s="24">
        <v>16.0</v>
      </c>
      <c r="I478" s="24">
        <v>1.0</v>
      </c>
      <c r="J478" s="24">
        <v>47.0</v>
      </c>
      <c r="K478" s="21" t="s">
        <v>32</v>
      </c>
      <c r="L478" s="21" t="s">
        <v>16</v>
      </c>
      <c r="M478" s="24">
        <v>0.0</v>
      </c>
      <c r="X478" s="24"/>
      <c r="Y478" s="21"/>
      <c r="Z478" s="24"/>
    </row>
    <row r="479">
      <c r="A479" s="21" t="s">
        <v>978</v>
      </c>
      <c r="B479" s="21" t="s">
        <v>979</v>
      </c>
      <c r="C479" s="22">
        <v>45269.0</v>
      </c>
      <c r="D479" s="22" t="str">
        <f t="shared" si="1"/>
        <v>12.2023</v>
      </c>
      <c r="E479" s="22">
        <v>45281.0</v>
      </c>
      <c r="F479" s="21" t="s">
        <v>38</v>
      </c>
      <c r="G479" s="23">
        <v>0.1</v>
      </c>
      <c r="H479" s="24">
        <v>85.0</v>
      </c>
      <c r="I479" s="24">
        <v>1.0</v>
      </c>
      <c r="J479" s="24">
        <v>38.0</v>
      </c>
      <c r="K479" s="21" t="s">
        <v>35</v>
      </c>
      <c r="L479" s="21" t="s">
        <v>47</v>
      </c>
      <c r="M479" s="24">
        <v>1.0</v>
      </c>
      <c r="X479" s="24"/>
      <c r="Y479" s="21"/>
      <c r="Z479" s="24"/>
    </row>
    <row r="480">
      <c r="A480" s="21" t="s">
        <v>980</v>
      </c>
      <c r="B480" s="21" t="s">
        <v>981</v>
      </c>
      <c r="C480" s="22">
        <v>45284.0</v>
      </c>
      <c r="D480" s="22" t="str">
        <f t="shared" si="1"/>
        <v>12.2023</v>
      </c>
      <c r="E480" s="22">
        <v>45296.0</v>
      </c>
      <c r="F480" s="21" t="s">
        <v>22</v>
      </c>
      <c r="G480" s="23">
        <v>3.4</v>
      </c>
      <c r="H480" s="24">
        <v>93.0</v>
      </c>
      <c r="I480" s="24">
        <v>1.0</v>
      </c>
      <c r="J480" s="24">
        <v>27.0</v>
      </c>
      <c r="K480" s="21" t="s">
        <v>15</v>
      </c>
      <c r="L480" s="21" t="s">
        <v>47</v>
      </c>
      <c r="M480" s="24">
        <v>1.0</v>
      </c>
      <c r="X480" s="24"/>
      <c r="Y480" s="21"/>
      <c r="Z480" s="24"/>
    </row>
    <row r="481">
      <c r="A481" s="21" t="s">
        <v>982</v>
      </c>
      <c r="B481" s="21" t="s">
        <v>983</v>
      </c>
      <c r="C481" s="22">
        <v>45049.0</v>
      </c>
      <c r="D481" s="22" t="str">
        <f t="shared" si="1"/>
        <v>05.2023</v>
      </c>
      <c r="E481" s="22">
        <v>45061.0</v>
      </c>
      <c r="F481" s="21" t="s">
        <v>22</v>
      </c>
      <c r="G481" s="23">
        <v>3.3</v>
      </c>
      <c r="H481" s="24">
        <v>12.0</v>
      </c>
      <c r="I481" s="24">
        <v>1.0</v>
      </c>
      <c r="J481" s="24">
        <v>49.0</v>
      </c>
      <c r="K481" s="21" t="s">
        <v>19</v>
      </c>
      <c r="L481" s="21" t="s">
        <v>47</v>
      </c>
      <c r="M481" s="24">
        <v>1.0</v>
      </c>
      <c r="X481" s="24"/>
      <c r="Y481" s="21"/>
      <c r="Z481" s="24"/>
    </row>
    <row r="482">
      <c r="A482" s="21" t="s">
        <v>984</v>
      </c>
      <c r="B482" s="21" t="s">
        <v>985</v>
      </c>
      <c r="C482" s="22">
        <v>45105.0</v>
      </c>
      <c r="D482" s="22" t="str">
        <f t="shared" si="1"/>
        <v>06.2023</v>
      </c>
      <c r="E482" s="22">
        <v>45117.0</v>
      </c>
      <c r="F482" s="21" t="s">
        <v>14</v>
      </c>
      <c r="G482" s="23">
        <v>1.4</v>
      </c>
      <c r="H482" s="24">
        <v>49.0</v>
      </c>
      <c r="I482" s="24">
        <v>0.0</v>
      </c>
      <c r="J482" s="24">
        <v>37.0</v>
      </c>
      <c r="K482" s="21" t="s">
        <v>15</v>
      </c>
      <c r="L482" s="21" t="s">
        <v>26</v>
      </c>
      <c r="M482" s="24">
        <v>1.0</v>
      </c>
      <c r="X482" s="24"/>
      <c r="Y482" s="21"/>
      <c r="Z482" s="24"/>
    </row>
    <row r="483">
      <c r="A483" s="21" t="s">
        <v>986</v>
      </c>
      <c r="B483" s="21" t="s">
        <v>987</v>
      </c>
      <c r="C483" s="22">
        <v>44930.0</v>
      </c>
      <c r="D483" s="22" t="str">
        <f t="shared" si="1"/>
        <v>01.2023</v>
      </c>
      <c r="E483" s="22">
        <v>44942.0</v>
      </c>
      <c r="F483" s="21" t="s">
        <v>38</v>
      </c>
      <c r="G483" s="23">
        <v>1.3</v>
      </c>
      <c r="H483" s="24">
        <v>29.0</v>
      </c>
      <c r="I483" s="24">
        <v>1.0</v>
      </c>
      <c r="J483" s="24">
        <v>20.0</v>
      </c>
      <c r="K483" s="21" t="s">
        <v>35</v>
      </c>
      <c r="L483" s="21" t="s">
        <v>26</v>
      </c>
      <c r="M483" s="24">
        <v>0.0</v>
      </c>
      <c r="X483" s="24"/>
      <c r="Y483" s="21"/>
      <c r="Z483" s="24"/>
    </row>
    <row r="484">
      <c r="A484" s="21" t="s">
        <v>988</v>
      </c>
      <c r="B484" s="21" t="s">
        <v>989</v>
      </c>
      <c r="C484" s="22">
        <v>45260.0</v>
      </c>
      <c r="D484" s="22" t="str">
        <f t="shared" si="1"/>
        <v>11.2023</v>
      </c>
      <c r="E484" s="22">
        <v>45272.0</v>
      </c>
      <c r="F484" s="21" t="s">
        <v>22</v>
      </c>
      <c r="G484" s="23">
        <v>4.3</v>
      </c>
      <c r="H484" s="24">
        <v>47.0</v>
      </c>
      <c r="I484" s="24">
        <v>0.0</v>
      </c>
      <c r="J484" s="24">
        <v>54.0</v>
      </c>
      <c r="K484" s="21" t="s">
        <v>23</v>
      </c>
      <c r="L484" s="21" t="s">
        <v>26</v>
      </c>
      <c r="M484" s="24">
        <v>1.0</v>
      </c>
      <c r="X484" s="24"/>
      <c r="Y484" s="21"/>
      <c r="Z484" s="24"/>
    </row>
    <row r="485">
      <c r="A485" s="21" t="s">
        <v>990</v>
      </c>
      <c r="B485" s="21" t="s">
        <v>991</v>
      </c>
      <c r="C485" s="22">
        <v>45262.0</v>
      </c>
      <c r="D485" s="22" t="str">
        <f t="shared" si="1"/>
        <v>12.2023</v>
      </c>
      <c r="E485" s="22">
        <v>45274.0</v>
      </c>
      <c r="F485" s="21" t="s">
        <v>38</v>
      </c>
      <c r="G485" s="23">
        <v>4.7</v>
      </c>
      <c r="H485" s="24">
        <v>55.0</v>
      </c>
      <c r="I485" s="24">
        <v>1.0</v>
      </c>
      <c r="J485" s="24">
        <v>35.0</v>
      </c>
      <c r="K485" s="21" t="s">
        <v>15</v>
      </c>
      <c r="L485" s="21" t="s">
        <v>47</v>
      </c>
      <c r="M485" s="24">
        <v>1.0</v>
      </c>
      <c r="X485" s="24"/>
      <c r="Y485" s="21"/>
      <c r="Z485" s="24"/>
    </row>
    <row r="486">
      <c r="A486" s="21" t="s">
        <v>992</v>
      </c>
      <c r="B486" s="21" t="s">
        <v>993</v>
      </c>
      <c r="C486" s="22">
        <v>44957.0</v>
      </c>
      <c r="D486" s="22" t="str">
        <f t="shared" si="1"/>
        <v>01.2023</v>
      </c>
      <c r="E486" s="22">
        <v>44969.0</v>
      </c>
      <c r="F486" s="21" t="s">
        <v>22</v>
      </c>
      <c r="G486" s="23">
        <v>1.8</v>
      </c>
      <c r="H486" s="24">
        <v>58.0</v>
      </c>
      <c r="I486" s="24">
        <v>1.0</v>
      </c>
      <c r="J486" s="24">
        <v>56.0</v>
      </c>
      <c r="K486" s="21" t="s">
        <v>23</v>
      </c>
      <c r="L486" s="21" t="s">
        <v>16</v>
      </c>
      <c r="M486" s="24">
        <v>1.0</v>
      </c>
      <c r="X486" s="24"/>
      <c r="Y486" s="21"/>
      <c r="Z486" s="24"/>
    </row>
    <row r="487">
      <c r="A487" s="21" t="s">
        <v>994</v>
      </c>
      <c r="B487" s="21" t="s">
        <v>995</v>
      </c>
      <c r="C487" s="22">
        <v>45064.0</v>
      </c>
      <c r="D487" s="22" t="str">
        <f t="shared" si="1"/>
        <v>05.2023</v>
      </c>
      <c r="E487" s="22">
        <v>45076.0</v>
      </c>
      <c r="F487" s="21" t="s">
        <v>14</v>
      </c>
      <c r="G487" s="23">
        <v>3.7</v>
      </c>
      <c r="H487" s="24">
        <v>15.0</v>
      </c>
      <c r="I487" s="24">
        <v>0.0</v>
      </c>
      <c r="J487" s="24">
        <v>26.0</v>
      </c>
      <c r="K487" s="21" t="s">
        <v>35</v>
      </c>
      <c r="L487" s="21" t="s">
        <v>26</v>
      </c>
      <c r="M487" s="24">
        <v>1.0</v>
      </c>
      <c r="X487" s="24"/>
      <c r="Y487" s="21"/>
      <c r="Z487" s="24"/>
    </row>
    <row r="488">
      <c r="A488" s="21" t="s">
        <v>996</v>
      </c>
      <c r="B488" s="21" t="s">
        <v>997</v>
      </c>
      <c r="C488" s="22">
        <v>45194.0</v>
      </c>
      <c r="D488" s="22" t="str">
        <f t="shared" si="1"/>
        <v>09.2023</v>
      </c>
      <c r="E488" s="22">
        <v>45206.0</v>
      </c>
      <c r="F488" s="21" t="s">
        <v>38</v>
      </c>
      <c r="G488" s="23">
        <v>3.8</v>
      </c>
      <c r="H488" s="24">
        <v>48.0</v>
      </c>
      <c r="I488" s="24">
        <v>1.0</v>
      </c>
      <c r="J488" s="24">
        <v>32.0</v>
      </c>
      <c r="K488" s="21" t="s">
        <v>15</v>
      </c>
      <c r="L488" s="21" t="s">
        <v>26</v>
      </c>
      <c r="M488" s="24">
        <v>1.0</v>
      </c>
      <c r="X488" s="24"/>
      <c r="Y488" s="21"/>
      <c r="Z488" s="24"/>
    </row>
    <row r="489">
      <c r="A489" s="21" t="s">
        <v>998</v>
      </c>
      <c r="B489" s="21" t="s">
        <v>999</v>
      </c>
      <c r="C489" s="22">
        <v>45080.0</v>
      </c>
      <c r="D489" s="22" t="str">
        <f t="shared" si="1"/>
        <v>06.2023</v>
      </c>
      <c r="E489" s="22">
        <v>45092.0</v>
      </c>
      <c r="F489" s="21" t="s">
        <v>14</v>
      </c>
      <c r="G489" s="23">
        <v>0.5</v>
      </c>
      <c r="H489" s="24">
        <v>3.0</v>
      </c>
      <c r="I489" s="24">
        <v>1.0</v>
      </c>
      <c r="J489" s="24">
        <v>22.0</v>
      </c>
      <c r="K489" s="21" t="s">
        <v>32</v>
      </c>
      <c r="L489" s="21" t="s">
        <v>47</v>
      </c>
      <c r="M489" s="24">
        <v>1.0</v>
      </c>
      <c r="X489" s="24"/>
      <c r="Y489" s="21"/>
      <c r="Z489" s="24"/>
    </row>
    <row r="490">
      <c r="A490" s="21" t="s">
        <v>1000</v>
      </c>
      <c r="B490" s="21" t="s">
        <v>1001</v>
      </c>
      <c r="C490" s="22">
        <v>45167.0</v>
      </c>
      <c r="D490" s="22" t="str">
        <f t="shared" si="1"/>
        <v>08.2023</v>
      </c>
      <c r="E490" s="22">
        <v>45179.0</v>
      </c>
      <c r="F490" s="21" t="s">
        <v>14</v>
      </c>
      <c r="G490" s="23">
        <v>0.2</v>
      </c>
      <c r="H490" s="24">
        <v>1.0</v>
      </c>
      <c r="I490" s="24">
        <v>1.0</v>
      </c>
      <c r="J490" s="24">
        <v>30.0</v>
      </c>
      <c r="K490" s="21" t="s">
        <v>23</v>
      </c>
      <c r="L490" s="21" t="s">
        <v>26</v>
      </c>
      <c r="M490" s="24">
        <v>1.0</v>
      </c>
      <c r="X490" s="24"/>
      <c r="Y490" s="21"/>
      <c r="Z490" s="24"/>
    </row>
    <row r="491">
      <c r="A491" s="21" t="s">
        <v>1002</v>
      </c>
      <c r="B491" s="21" t="s">
        <v>1003</v>
      </c>
      <c r="C491" s="22">
        <v>45179.0</v>
      </c>
      <c r="D491" s="22" t="str">
        <f t="shared" si="1"/>
        <v>09.2023</v>
      </c>
      <c r="E491" s="22">
        <v>45191.0</v>
      </c>
      <c r="F491" s="21" t="s">
        <v>38</v>
      </c>
      <c r="G491" s="23">
        <v>1.5</v>
      </c>
      <c r="H491" s="24">
        <v>4.0</v>
      </c>
      <c r="I491" s="24">
        <v>1.0</v>
      </c>
      <c r="J491" s="24">
        <v>41.0</v>
      </c>
      <c r="K491" s="21" t="s">
        <v>19</v>
      </c>
      <c r="L491" s="21" t="s">
        <v>47</v>
      </c>
      <c r="M491" s="24">
        <v>0.0</v>
      </c>
      <c r="X491" s="24"/>
      <c r="Y491" s="21"/>
      <c r="Z491" s="24"/>
    </row>
    <row r="492">
      <c r="A492" s="21" t="s">
        <v>1004</v>
      </c>
      <c r="B492" s="21" t="s">
        <v>1005</v>
      </c>
      <c r="C492" s="22">
        <v>45240.0</v>
      </c>
      <c r="D492" s="22" t="str">
        <f t="shared" si="1"/>
        <v>11.2023</v>
      </c>
      <c r="E492" s="22">
        <v>45252.0</v>
      </c>
      <c r="F492" s="21" t="s">
        <v>38</v>
      </c>
      <c r="G492" s="23">
        <v>3.0</v>
      </c>
      <c r="H492" s="24">
        <v>80.0</v>
      </c>
      <c r="I492" s="24">
        <v>1.0</v>
      </c>
      <c r="J492" s="24">
        <v>16.0</v>
      </c>
      <c r="K492" s="21" t="s">
        <v>23</v>
      </c>
      <c r="L492" s="21" t="s">
        <v>47</v>
      </c>
      <c r="M492" s="24">
        <v>1.0</v>
      </c>
      <c r="X492" s="24"/>
      <c r="Y492" s="21"/>
      <c r="Z492" s="24"/>
    </row>
    <row r="493">
      <c r="A493" s="21" t="s">
        <v>1006</v>
      </c>
      <c r="B493" s="21" t="s">
        <v>1007</v>
      </c>
      <c r="C493" s="22">
        <v>45000.0</v>
      </c>
      <c r="D493" s="22" t="str">
        <f t="shared" si="1"/>
        <v>03.2023</v>
      </c>
      <c r="E493" s="22">
        <v>45012.0</v>
      </c>
      <c r="F493" s="21" t="s">
        <v>29</v>
      </c>
      <c r="G493" s="23">
        <v>2.3</v>
      </c>
      <c r="H493" s="24">
        <v>64.0</v>
      </c>
      <c r="I493" s="24">
        <v>1.0</v>
      </c>
      <c r="J493" s="24">
        <v>24.0</v>
      </c>
      <c r="K493" s="21" t="s">
        <v>35</v>
      </c>
      <c r="L493" s="21" t="s">
        <v>26</v>
      </c>
      <c r="M493" s="24">
        <v>0.0</v>
      </c>
      <c r="X493" s="24"/>
      <c r="Y493" s="21"/>
      <c r="Z493" s="24"/>
    </row>
    <row r="494">
      <c r="A494" s="21" t="s">
        <v>1008</v>
      </c>
      <c r="B494" s="21" t="s">
        <v>1009</v>
      </c>
      <c r="C494" s="22">
        <v>45245.0</v>
      </c>
      <c r="D494" s="22" t="str">
        <f t="shared" si="1"/>
        <v>11.2023</v>
      </c>
      <c r="E494" s="22">
        <v>45257.0</v>
      </c>
      <c r="F494" s="21" t="s">
        <v>14</v>
      </c>
      <c r="G494" s="23">
        <v>1.6</v>
      </c>
      <c r="H494" s="24">
        <v>40.0</v>
      </c>
      <c r="I494" s="24">
        <v>1.0</v>
      </c>
      <c r="J494" s="24">
        <v>15.0</v>
      </c>
      <c r="K494" s="21" t="s">
        <v>35</v>
      </c>
      <c r="L494" s="21" t="s">
        <v>26</v>
      </c>
      <c r="M494" s="24">
        <v>0.0</v>
      </c>
      <c r="X494" s="24"/>
      <c r="Y494" s="21"/>
      <c r="Z494" s="24"/>
    </row>
    <row r="495">
      <c r="A495" s="21" t="s">
        <v>1010</v>
      </c>
      <c r="B495" s="21" t="s">
        <v>1011</v>
      </c>
      <c r="C495" s="22">
        <v>45023.0</v>
      </c>
      <c r="D495" s="22" t="str">
        <f t="shared" si="1"/>
        <v>04.2023</v>
      </c>
      <c r="E495" s="22">
        <v>45035.0</v>
      </c>
      <c r="F495" s="21" t="s">
        <v>14</v>
      </c>
      <c r="G495" s="23">
        <v>5.0</v>
      </c>
      <c r="H495" s="24">
        <v>22.0</v>
      </c>
      <c r="I495" s="24">
        <v>1.0</v>
      </c>
      <c r="J495" s="24">
        <v>55.0</v>
      </c>
      <c r="K495" s="21" t="s">
        <v>32</v>
      </c>
      <c r="L495" s="21" t="s">
        <v>26</v>
      </c>
      <c r="M495" s="24">
        <v>1.0</v>
      </c>
      <c r="X495" s="24"/>
      <c r="Y495" s="21"/>
      <c r="Z495" s="24"/>
    </row>
    <row r="496">
      <c r="A496" s="21" t="s">
        <v>1012</v>
      </c>
      <c r="B496" s="21" t="s">
        <v>1013</v>
      </c>
      <c r="C496" s="22">
        <v>45130.0</v>
      </c>
      <c r="D496" s="22" t="str">
        <f t="shared" si="1"/>
        <v>07.2023</v>
      </c>
      <c r="E496" s="22">
        <v>45142.0</v>
      </c>
      <c r="F496" s="21" t="s">
        <v>14</v>
      </c>
      <c r="G496" s="23">
        <v>2.9</v>
      </c>
      <c r="H496" s="24">
        <v>75.0</v>
      </c>
      <c r="I496" s="24">
        <v>1.0</v>
      </c>
      <c r="J496" s="24">
        <v>29.0</v>
      </c>
      <c r="K496" s="21" t="s">
        <v>23</v>
      </c>
      <c r="L496" s="21" t="s">
        <v>26</v>
      </c>
      <c r="M496" s="24">
        <v>1.0</v>
      </c>
      <c r="X496" s="24"/>
      <c r="Y496" s="21"/>
      <c r="Z496" s="24"/>
    </row>
    <row r="497">
      <c r="A497" s="21" t="s">
        <v>1014</v>
      </c>
      <c r="B497" s="21" t="s">
        <v>1015</v>
      </c>
      <c r="C497" s="22">
        <v>45090.0</v>
      </c>
      <c r="D497" s="22" t="str">
        <f t="shared" si="1"/>
        <v>06.2023</v>
      </c>
      <c r="E497" s="22">
        <v>45102.0</v>
      </c>
      <c r="F497" s="21" t="s">
        <v>29</v>
      </c>
      <c r="G497" s="23">
        <v>4.1</v>
      </c>
      <c r="H497" s="24">
        <v>24.0</v>
      </c>
      <c r="I497" s="24">
        <v>1.0</v>
      </c>
      <c r="J497" s="24">
        <v>26.0</v>
      </c>
      <c r="K497" s="21" t="s">
        <v>23</v>
      </c>
      <c r="L497" s="21" t="s">
        <v>16</v>
      </c>
      <c r="M497" s="24">
        <v>1.0</v>
      </c>
      <c r="X497" s="24"/>
      <c r="Y497" s="21"/>
      <c r="Z497" s="24"/>
    </row>
    <row r="498">
      <c r="A498" s="21" t="s">
        <v>1016</v>
      </c>
      <c r="B498" s="21" t="s">
        <v>1017</v>
      </c>
      <c r="C498" s="22">
        <v>45111.0</v>
      </c>
      <c r="D498" s="22" t="str">
        <f t="shared" si="1"/>
        <v>07.2023</v>
      </c>
      <c r="E498" s="22">
        <v>45123.0</v>
      </c>
      <c r="F498" s="21" t="s">
        <v>22</v>
      </c>
      <c r="G498" s="23">
        <v>2.2</v>
      </c>
      <c r="H498" s="24">
        <v>36.0</v>
      </c>
      <c r="I498" s="24">
        <v>1.0</v>
      </c>
      <c r="J498" s="24">
        <v>32.0</v>
      </c>
      <c r="K498" s="21" t="s">
        <v>19</v>
      </c>
      <c r="L498" s="21" t="s">
        <v>26</v>
      </c>
      <c r="M498" s="24">
        <v>1.0</v>
      </c>
      <c r="X498" s="24"/>
      <c r="Y498" s="21"/>
      <c r="Z498" s="24"/>
    </row>
    <row r="499">
      <c r="A499" s="21" t="s">
        <v>1018</v>
      </c>
      <c r="B499" s="21" t="s">
        <v>1019</v>
      </c>
      <c r="C499" s="22">
        <v>45121.0</v>
      </c>
      <c r="D499" s="22" t="str">
        <f t="shared" si="1"/>
        <v>07.2023</v>
      </c>
      <c r="E499" s="22">
        <v>45133.0</v>
      </c>
      <c r="F499" s="21" t="s">
        <v>14</v>
      </c>
      <c r="G499" s="23">
        <v>1.0</v>
      </c>
      <c r="H499" s="24">
        <v>23.0</v>
      </c>
      <c r="I499" s="24">
        <v>0.0</v>
      </c>
      <c r="J499" s="24">
        <v>19.0</v>
      </c>
      <c r="K499" s="21" t="s">
        <v>23</v>
      </c>
      <c r="L499" s="21" t="s">
        <v>47</v>
      </c>
      <c r="M499" s="24">
        <v>1.0</v>
      </c>
      <c r="X499" s="24"/>
      <c r="Y499" s="21"/>
      <c r="Z499" s="24"/>
    </row>
    <row r="500">
      <c r="A500" s="21" t="s">
        <v>1020</v>
      </c>
      <c r="B500" s="21" t="s">
        <v>1021</v>
      </c>
      <c r="C500" s="22">
        <v>45023.0</v>
      </c>
      <c r="D500" s="22" t="str">
        <f t="shared" si="1"/>
        <v>04.2023</v>
      </c>
      <c r="E500" s="22">
        <v>45035.0</v>
      </c>
      <c r="F500" s="21" t="s">
        <v>38</v>
      </c>
      <c r="G500" s="23">
        <v>4.5</v>
      </c>
      <c r="H500" s="24">
        <v>77.0</v>
      </c>
      <c r="I500" s="24">
        <v>1.0</v>
      </c>
      <c r="J500" s="24">
        <v>39.0</v>
      </c>
      <c r="K500" s="21" t="s">
        <v>32</v>
      </c>
      <c r="L500" s="21" t="s">
        <v>16</v>
      </c>
      <c r="M500" s="24">
        <v>1.0</v>
      </c>
      <c r="X500" s="24"/>
      <c r="Y500" s="21"/>
      <c r="Z500" s="24"/>
    </row>
    <row r="501">
      <c r="A501" s="21" t="s">
        <v>1022</v>
      </c>
      <c r="B501" s="21" t="s">
        <v>1023</v>
      </c>
      <c r="C501" s="22">
        <v>45019.0</v>
      </c>
      <c r="D501" s="22" t="str">
        <f t="shared" si="1"/>
        <v>04.2023</v>
      </c>
      <c r="E501" s="22">
        <v>45031.0</v>
      </c>
      <c r="F501" s="21" t="s">
        <v>29</v>
      </c>
      <c r="G501" s="23">
        <v>0.8</v>
      </c>
      <c r="H501" s="24">
        <v>61.0</v>
      </c>
      <c r="I501" s="24">
        <v>0.0</v>
      </c>
      <c r="J501" s="24">
        <v>56.0</v>
      </c>
      <c r="K501" s="21" t="s">
        <v>19</v>
      </c>
      <c r="L501" s="21" t="s">
        <v>16</v>
      </c>
      <c r="M501" s="24">
        <v>0.0</v>
      </c>
      <c r="X501" s="24"/>
      <c r="Y501" s="21"/>
      <c r="Z501" s="24"/>
    </row>
    <row r="502">
      <c r="A502" s="21" t="s">
        <v>1024</v>
      </c>
      <c r="B502" s="21" t="s">
        <v>1025</v>
      </c>
      <c r="C502" s="22">
        <v>45027.0</v>
      </c>
      <c r="D502" s="22" t="str">
        <f t="shared" si="1"/>
        <v>04.2023</v>
      </c>
      <c r="E502" s="22">
        <v>45039.0</v>
      </c>
      <c r="F502" s="21" t="s">
        <v>29</v>
      </c>
      <c r="G502" s="23">
        <v>2.8</v>
      </c>
      <c r="H502" s="24">
        <v>70.0</v>
      </c>
      <c r="I502" s="24">
        <v>0.0</v>
      </c>
      <c r="J502" s="24">
        <v>47.0</v>
      </c>
      <c r="K502" s="21" t="s">
        <v>35</v>
      </c>
      <c r="L502" s="21" t="s">
        <v>26</v>
      </c>
      <c r="M502" s="24">
        <v>1.0</v>
      </c>
      <c r="X502" s="24"/>
      <c r="Y502" s="21"/>
      <c r="Z502" s="24"/>
    </row>
    <row r="503">
      <c r="A503" s="21" t="s">
        <v>1026</v>
      </c>
      <c r="B503" s="21" t="s">
        <v>1027</v>
      </c>
      <c r="C503" s="22">
        <v>45175.0</v>
      </c>
      <c r="D503" s="22" t="str">
        <f t="shared" si="1"/>
        <v>09.2023</v>
      </c>
      <c r="E503" s="22">
        <v>45187.0</v>
      </c>
      <c r="F503" s="21" t="s">
        <v>22</v>
      </c>
      <c r="G503" s="23">
        <v>4.2</v>
      </c>
      <c r="H503" s="24">
        <v>72.0</v>
      </c>
      <c r="I503" s="24">
        <v>0.0</v>
      </c>
      <c r="J503" s="24">
        <v>29.0</v>
      </c>
      <c r="K503" s="21" t="s">
        <v>19</v>
      </c>
      <c r="L503" s="21" t="s">
        <v>16</v>
      </c>
      <c r="M503" s="24">
        <v>1.0</v>
      </c>
      <c r="X503" s="24"/>
      <c r="Y503" s="21"/>
      <c r="Z503" s="24"/>
    </row>
    <row r="504">
      <c r="A504" s="21" t="s">
        <v>1028</v>
      </c>
      <c r="B504" s="21" t="s">
        <v>1029</v>
      </c>
      <c r="C504" s="22">
        <v>45001.0</v>
      </c>
      <c r="D504" s="22" t="str">
        <f t="shared" si="1"/>
        <v>03.2023</v>
      </c>
      <c r="E504" s="22">
        <v>45013.0</v>
      </c>
      <c r="F504" s="21" t="s">
        <v>14</v>
      </c>
      <c r="G504" s="23">
        <v>1.2</v>
      </c>
      <c r="H504" s="24">
        <v>79.0</v>
      </c>
      <c r="I504" s="24">
        <v>0.0</v>
      </c>
      <c r="J504" s="24">
        <v>35.0</v>
      </c>
      <c r="K504" s="21" t="s">
        <v>23</v>
      </c>
      <c r="L504" s="21" t="s">
        <v>26</v>
      </c>
      <c r="M504" s="24">
        <v>1.0</v>
      </c>
      <c r="X504" s="24"/>
      <c r="Y504" s="21"/>
      <c r="Z504" s="24"/>
    </row>
    <row r="505">
      <c r="A505" s="21" t="s">
        <v>1030</v>
      </c>
      <c r="B505" s="21" t="s">
        <v>1031</v>
      </c>
      <c r="C505" s="22">
        <v>45282.0</v>
      </c>
      <c r="D505" s="22" t="str">
        <f t="shared" si="1"/>
        <v>12.2023</v>
      </c>
      <c r="E505" s="22">
        <v>45294.0</v>
      </c>
      <c r="F505" s="21" t="s">
        <v>22</v>
      </c>
      <c r="G505" s="23">
        <v>2.7</v>
      </c>
      <c r="H505" s="24">
        <v>25.0</v>
      </c>
      <c r="I505" s="24">
        <v>1.0</v>
      </c>
      <c r="J505" s="24">
        <v>34.0</v>
      </c>
      <c r="K505" s="21" t="s">
        <v>23</v>
      </c>
      <c r="L505" s="21" t="s">
        <v>26</v>
      </c>
      <c r="M505" s="24">
        <v>1.0</v>
      </c>
      <c r="X505" s="24"/>
      <c r="Y505" s="21"/>
      <c r="Z505" s="24"/>
    </row>
    <row r="506">
      <c r="A506" s="21" t="s">
        <v>1032</v>
      </c>
      <c r="B506" s="21" t="s">
        <v>1033</v>
      </c>
      <c r="C506" s="22">
        <v>45212.0</v>
      </c>
      <c r="D506" s="22" t="str">
        <f t="shared" si="1"/>
        <v>10.2023</v>
      </c>
      <c r="E506" s="22">
        <v>45224.0</v>
      </c>
      <c r="F506" s="21" t="s">
        <v>22</v>
      </c>
      <c r="G506" s="23">
        <v>4.9</v>
      </c>
      <c r="H506" s="24">
        <v>52.0</v>
      </c>
      <c r="I506" s="24">
        <v>0.0</v>
      </c>
      <c r="J506" s="24">
        <v>25.0</v>
      </c>
      <c r="K506" s="21" t="s">
        <v>23</v>
      </c>
      <c r="L506" s="21" t="s">
        <v>16</v>
      </c>
      <c r="M506" s="24">
        <v>1.0</v>
      </c>
      <c r="X506" s="24"/>
      <c r="Y506" s="21"/>
      <c r="Z506" s="24"/>
    </row>
    <row r="507">
      <c r="A507" s="21" t="s">
        <v>1034</v>
      </c>
      <c r="B507" s="21" t="s">
        <v>1035</v>
      </c>
      <c r="C507" s="22">
        <v>45116.0</v>
      </c>
      <c r="D507" s="22" t="str">
        <f t="shared" si="1"/>
        <v>07.2023</v>
      </c>
      <c r="E507" s="22">
        <v>45128.0</v>
      </c>
      <c r="F507" s="21" t="s">
        <v>29</v>
      </c>
      <c r="G507" s="23">
        <v>2.5</v>
      </c>
      <c r="H507" s="24">
        <v>19.0</v>
      </c>
      <c r="I507" s="24">
        <v>0.0</v>
      </c>
      <c r="J507" s="24">
        <v>50.0</v>
      </c>
      <c r="K507" s="21" t="s">
        <v>19</v>
      </c>
      <c r="L507" s="21" t="s">
        <v>16</v>
      </c>
      <c r="M507" s="24">
        <v>0.0</v>
      </c>
      <c r="X507" s="24"/>
      <c r="Y507" s="21"/>
      <c r="Z507" s="24"/>
    </row>
    <row r="508">
      <c r="A508" s="21" t="s">
        <v>1036</v>
      </c>
      <c r="B508" s="21" t="s">
        <v>1037</v>
      </c>
      <c r="C508" s="22">
        <v>44968.0</v>
      </c>
      <c r="D508" s="22" t="str">
        <f t="shared" si="1"/>
        <v>02.2023</v>
      </c>
      <c r="E508" s="22">
        <v>44980.0</v>
      </c>
      <c r="F508" s="21" t="s">
        <v>14</v>
      </c>
      <c r="G508" s="23">
        <v>4.4</v>
      </c>
      <c r="H508" s="24">
        <v>85.0</v>
      </c>
      <c r="I508" s="24">
        <v>0.0</v>
      </c>
      <c r="J508" s="24">
        <v>33.0</v>
      </c>
      <c r="K508" s="21" t="s">
        <v>15</v>
      </c>
      <c r="L508" s="21" t="s">
        <v>47</v>
      </c>
      <c r="M508" s="24">
        <v>1.0</v>
      </c>
      <c r="X508" s="24"/>
      <c r="Y508" s="21"/>
      <c r="Z508" s="24"/>
    </row>
    <row r="509">
      <c r="A509" s="21" t="s">
        <v>1038</v>
      </c>
      <c r="B509" s="21" t="s">
        <v>1039</v>
      </c>
      <c r="C509" s="22">
        <v>45118.0</v>
      </c>
      <c r="D509" s="22" t="str">
        <f t="shared" si="1"/>
        <v>07.2023</v>
      </c>
      <c r="E509" s="22">
        <v>45130.0</v>
      </c>
      <c r="F509" s="21" t="s">
        <v>14</v>
      </c>
      <c r="G509" s="23">
        <v>1.1</v>
      </c>
      <c r="H509" s="24">
        <v>83.0</v>
      </c>
      <c r="I509" s="24">
        <v>0.0</v>
      </c>
      <c r="J509" s="24">
        <v>53.0</v>
      </c>
      <c r="K509" s="21" t="s">
        <v>32</v>
      </c>
      <c r="L509" s="21" t="s">
        <v>47</v>
      </c>
      <c r="M509" s="24">
        <v>1.0</v>
      </c>
      <c r="X509" s="24"/>
      <c r="Y509" s="21"/>
      <c r="Z509" s="24"/>
    </row>
    <row r="510">
      <c r="A510" s="21" t="s">
        <v>1040</v>
      </c>
      <c r="B510" s="21" t="s">
        <v>1041</v>
      </c>
      <c r="C510" s="22">
        <v>45084.0</v>
      </c>
      <c r="D510" s="22" t="str">
        <f t="shared" si="1"/>
        <v>06.2023</v>
      </c>
      <c r="E510" s="22">
        <v>45096.0</v>
      </c>
      <c r="F510" s="21" t="s">
        <v>29</v>
      </c>
      <c r="G510" s="23">
        <v>0.0</v>
      </c>
      <c r="H510" s="24">
        <v>39.0</v>
      </c>
      <c r="I510" s="24">
        <v>1.0</v>
      </c>
      <c r="J510" s="24">
        <v>30.0</v>
      </c>
      <c r="K510" s="21" t="s">
        <v>15</v>
      </c>
      <c r="L510" s="21" t="s">
        <v>16</v>
      </c>
      <c r="M510" s="24">
        <v>1.0</v>
      </c>
      <c r="X510" s="24"/>
      <c r="Y510" s="21"/>
      <c r="Z510" s="24"/>
    </row>
    <row r="511">
      <c r="A511" s="21" t="s">
        <v>1042</v>
      </c>
      <c r="B511" s="21" t="s">
        <v>1043</v>
      </c>
      <c r="C511" s="22">
        <v>45280.0</v>
      </c>
      <c r="D511" s="22" t="str">
        <f t="shared" si="1"/>
        <v>12.2023</v>
      </c>
      <c r="E511" s="22">
        <v>45292.0</v>
      </c>
      <c r="F511" s="21" t="s">
        <v>14</v>
      </c>
      <c r="G511" s="23">
        <v>3.1</v>
      </c>
      <c r="H511" s="24">
        <v>72.0</v>
      </c>
      <c r="I511" s="24">
        <v>1.0</v>
      </c>
      <c r="J511" s="24">
        <v>14.0</v>
      </c>
      <c r="K511" s="21" t="s">
        <v>32</v>
      </c>
      <c r="L511" s="21" t="s">
        <v>47</v>
      </c>
      <c r="M511" s="24">
        <v>1.0</v>
      </c>
      <c r="X511" s="24"/>
      <c r="Y511" s="21"/>
      <c r="Z511" s="24"/>
    </row>
    <row r="512">
      <c r="A512" s="21" t="s">
        <v>1044</v>
      </c>
      <c r="B512" s="21" t="s">
        <v>1045</v>
      </c>
      <c r="C512" s="22">
        <v>45180.0</v>
      </c>
      <c r="D512" s="22" t="str">
        <f t="shared" si="1"/>
        <v>09.2023</v>
      </c>
      <c r="E512" s="22">
        <v>45192.0</v>
      </c>
      <c r="F512" s="21" t="s">
        <v>29</v>
      </c>
      <c r="G512" s="23">
        <v>3.6</v>
      </c>
      <c r="H512" s="24">
        <v>67.0</v>
      </c>
      <c r="I512" s="24">
        <v>0.0</v>
      </c>
      <c r="J512" s="24">
        <v>43.0</v>
      </c>
      <c r="K512" s="21" t="s">
        <v>35</v>
      </c>
      <c r="L512" s="21" t="s">
        <v>47</v>
      </c>
      <c r="M512" s="24">
        <v>1.0</v>
      </c>
      <c r="X512" s="24"/>
      <c r="Y512" s="21"/>
      <c r="Z512" s="24"/>
    </row>
    <row r="513">
      <c r="A513" s="21" t="s">
        <v>1046</v>
      </c>
      <c r="B513" s="21" t="s">
        <v>1047</v>
      </c>
      <c r="C513" s="22">
        <v>44962.0</v>
      </c>
      <c r="D513" s="22" t="str">
        <f t="shared" si="1"/>
        <v>02.2023</v>
      </c>
      <c r="E513" s="22">
        <v>44974.0</v>
      </c>
      <c r="F513" s="21" t="s">
        <v>29</v>
      </c>
      <c r="G513" s="23">
        <v>0.7</v>
      </c>
      <c r="H513" s="24">
        <v>10.0</v>
      </c>
      <c r="I513" s="24">
        <v>0.0</v>
      </c>
      <c r="J513" s="24">
        <v>48.0</v>
      </c>
      <c r="K513" s="21" t="s">
        <v>23</v>
      </c>
      <c r="L513" s="21" t="s">
        <v>16</v>
      </c>
      <c r="M513" s="24">
        <v>1.0</v>
      </c>
      <c r="X513" s="24"/>
      <c r="Y513" s="21"/>
      <c r="Z513" s="24"/>
    </row>
    <row r="514">
      <c r="A514" s="21" t="s">
        <v>1048</v>
      </c>
      <c r="B514" s="21" t="s">
        <v>1049</v>
      </c>
      <c r="C514" s="22">
        <v>45161.0</v>
      </c>
      <c r="D514" s="22" t="str">
        <f t="shared" si="1"/>
        <v>08.2023</v>
      </c>
      <c r="E514" s="22">
        <v>45173.0</v>
      </c>
      <c r="F514" s="21" t="s">
        <v>38</v>
      </c>
      <c r="G514" s="23">
        <v>4.0</v>
      </c>
      <c r="H514" s="24">
        <v>2.0</v>
      </c>
      <c r="I514" s="24">
        <v>1.0</v>
      </c>
      <c r="J514" s="24">
        <v>27.0</v>
      </c>
      <c r="K514" s="21" t="s">
        <v>32</v>
      </c>
      <c r="L514" s="21" t="s">
        <v>16</v>
      </c>
      <c r="M514" s="24">
        <v>1.0</v>
      </c>
      <c r="X514" s="24"/>
      <c r="Y514" s="21"/>
      <c r="Z514" s="24"/>
    </row>
    <row r="515">
      <c r="A515" s="21" t="s">
        <v>1050</v>
      </c>
      <c r="B515" s="21" t="s">
        <v>1051</v>
      </c>
      <c r="C515" s="22">
        <v>45135.0</v>
      </c>
      <c r="D515" s="22" t="str">
        <f t="shared" si="1"/>
        <v>07.2023</v>
      </c>
      <c r="E515" s="22">
        <v>45147.0</v>
      </c>
      <c r="F515" s="21" t="s">
        <v>14</v>
      </c>
      <c r="G515" s="23">
        <v>2.5</v>
      </c>
      <c r="H515" s="24">
        <v>76.0</v>
      </c>
      <c r="I515" s="24">
        <v>1.0</v>
      </c>
      <c r="J515" s="24">
        <v>54.0</v>
      </c>
      <c r="K515" s="21" t="s">
        <v>15</v>
      </c>
      <c r="L515" s="21" t="s">
        <v>16</v>
      </c>
      <c r="M515" s="24">
        <v>0.0</v>
      </c>
      <c r="X515" s="24"/>
      <c r="Y515" s="21"/>
      <c r="Z515" s="24"/>
    </row>
    <row r="516">
      <c r="A516" s="21" t="s">
        <v>1052</v>
      </c>
      <c r="B516" s="21" t="s">
        <v>1053</v>
      </c>
      <c r="C516" s="22">
        <v>45011.0</v>
      </c>
      <c r="D516" s="22" t="str">
        <f t="shared" si="1"/>
        <v>03.2023</v>
      </c>
      <c r="E516" s="22">
        <v>45023.0</v>
      </c>
      <c r="F516" s="21" t="s">
        <v>14</v>
      </c>
      <c r="G516" s="23">
        <v>0.3</v>
      </c>
      <c r="H516" s="24">
        <v>23.0</v>
      </c>
      <c r="I516" s="24">
        <v>0.0</v>
      </c>
      <c r="J516" s="24">
        <v>37.0</v>
      </c>
      <c r="K516" s="21" t="s">
        <v>15</v>
      </c>
      <c r="L516" s="21" t="s">
        <v>26</v>
      </c>
      <c r="M516" s="24">
        <v>0.0</v>
      </c>
      <c r="X516" s="24"/>
      <c r="Y516" s="21"/>
      <c r="Z516" s="24"/>
    </row>
    <row r="517">
      <c r="A517" s="21" t="s">
        <v>1054</v>
      </c>
      <c r="B517" s="21" t="s">
        <v>1055</v>
      </c>
      <c r="C517" s="22">
        <v>44960.0</v>
      </c>
      <c r="D517" s="22" t="str">
        <f t="shared" si="1"/>
        <v>02.2023</v>
      </c>
      <c r="E517" s="22">
        <v>44972.0</v>
      </c>
      <c r="F517" s="21" t="s">
        <v>22</v>
      </c>
      <c r="G517" s="23">
        <v>1.2</v>
      </c>
      <c r="H517" s="24">
        <v>71.0</v>
      </c>
      <c r="I517" s="24">
        <v>1.0</v>
      </c>
      <c r="J517" s="24">
        <v>44.0</v>
      </c>
      <c r="K517" s="21" t="s">
        <v>32</v>
      </c>
      <c r="L517" s="21" t="s">
        <v>26</v>
      </c>
      <c r="M517" s="24">
        <v>0.0</v>
      </c>
      <c r="X517" s="24"/>
      <c r="Y517" s="21"/>
      <c r="Z517" s="24"/>
    </row>
    <row r="518">
      <c r="A518" s="21" t="s">
        <v>1056</v>
      </c>
      <c r="B518" s="21" t="s">
        <v>1057</v>
      </c>
      <c r="C518" s="22">
        <v>45058.0</v>
      </c>
      <c r="D518" s="22" t="str">
        <f t="shared" si="1"/>
        <v>05.2023</v>
      </c>
      <c r="E518" s="22">
        <v>45070.0</v>
      </c>
      <c r="F518" s="21" t="s">
        <v>22</v>
      </c>
      <c r="G518" s="23">
        <v>4.6</v>
      </c>
      <c r="H518" s="24">
        <v>91.0</v>
      </c>
      <c r="I518" s="24">
        <v>1.0</v>
      </c>
      <c r="J518" s="24">
        <v>24.0</v>
      </c>
      <c r="K518" s="21" t="s">
        <v>23</v>
      </c>
      <c r="L518" s="21" t="s">
        <v>47</v>
      </c>
      <c r="M518" s="24">
        <v>0.0</v>
      </c>
      <c r="X518" s="24"/>
      <c r="Y518" s="21"/>
      <c r="Z518" s="24"/>
    </row>
    <row r="519">
      <c r="A519" s="21" t="s">
        <v>1058</v>
      </c>
      <c r="B519" s="21" t="s">
        <v>1059</v>
      </c>
      <c r="C519" s="22">
        <v>45278.0</v>
      </c>
      <c r="D519" s="22" t="str">
        <f t="shared" si="1"/>
        <v>12.2023</v>
      </c>
      <c r="E519" s="22">
        <v>45290.0</v>
      </c>
      <c r="F519" s="21" t="s">
        <v>29</v>
      </c>
      <c r="G519" s="23">
        <v>4.5</v>
      </c>
      <c r="H519" s="24">
        <v>79.0</v>
      </c>
      <c r="I519" s="24">
        <v>1.0</v>
      </c>
      <c r="J519" s="24">
        <v>13.0</v>
      </c>
      <c r="K519" s="21" t="s">
        <v>32</v>
      </c>
      <c r="L519" s="21" t="s">
        <v>26</v>
      </c>
      <c r="M519" s="24">
        <v>1.0</v>
      </c>
      <c r="X519" s="24"/>
      <c r="Y519" s="21"/>
      <c r="Z519" s="24"/>
    </row>
    <row r="520">
      <c r="A520" s="21" t="s">
        <v>1060</v>
      </c>
      <c r="B520" s="21" t="s">
        <v>1061</v>
      </c>
      <c r="C520" s="22">
        <v>45164.0</v>
      </c>
      <c r="D520" s="22" t="str">
        <f t="shared" si="1"/>
        <v>08.2023</v>
      </c>
      <c r="E520" s="22">
        <v>45176.0</v>
      </c>
      <c r="F520" s="21" t="s">
        <v>22</v>
      </c>
      <c r="G520" s="23">
        <v>3.2</v>
      </c>
      <c r="H520" s="24">
        <v>17.0</v>
      </c>
      <c r="I520" s="24">
        <v>0.0</v>
      </c>
      <c r="J520" s="24">
        <v>49.0</v>
      </c>
      <c r="K520" s="21" t="s">
        <v>19</v>
      </c>
      <c r="L520" s="21" t="s">
        <v>47</v>
      </c>
      <c r="M520" s="24">
        <v>0.0</v>
      </c>
      <c r="X520" s="24"/>
      <c r="Y520" s="21"/>
      <c r="Z520" s="24"/>
    </row>
    <row r="521">
      <c r="A521" s="21" t="s">
        <v>1062</v>
      </c>
      <c r="B521" s="21" t="s">
        <v>1063</v>
      </c>
      <c r="C521" s="22">
        <v>45027.0</v>
      </c>
      <c r="D521" s="22" t="str">
        <f t="shared" si="1"/>
        <v>04.2023</v>
      </c>
      <c r="E521" s="22">
        <v>45039.0</v>
      </c>
      <c r="F521" s="21" t="s">
        <v>29</v>
      </c>
      <c r="G521" s="23">
        <v>1.4</v>
      </c>
      <c r="H521" s="24">
        <v>100.0</v>
      </c>
      <c r="I521" s="24">
        <v>1.0</v>
      </c>
      <c r="J521" s="24">
        <v>40.0</v>
      </c>
      <c r="K521" s="21" t="s">
        <v>32</v>
      </c>
      <c r="L521" s="21" t="s">
        <v>26</v>
      </c>
      <c r="M521" s="24">
        <v>1.0</v>
      </c>
      <c r="X521" s="24"/>
      <c r="Y521" s="21"/>
      <c r="Z521" s="24"/>
    </row>
    <row r="522">
      <c r="A522" s="21" t="s">
        <v>1064</v>
      </c>
      <c r="B522" s="21" t="s">
        <v>1065</v>
      </c>
      <c r="C522" s="22">
        <v>45271.0</v>
      </c>
      <c r="D522" s="22" t="str">
        <f t="shared" si="1"/>
        <v>12.2023</v>
      </c>
      <c r="E522" s="22">
        <v>45283.0</v>
      </c>
      <c r="F522" s="21" t="s">
        <v>29</v>
      </c>
      <c r="G522" s="23">
        <v>1.6</v>
      </c>
      <c r="H522" s="24">
        <v>54.0</v>
      </c>
      <c r="I522" s="24">
        <v>1.0</v>
      </c>
      <c r="J522" s="24">
        <v>46.0</v>
      </c>
      <c r="K522" s="21" t="s">
        <v>32</v>
      </c>
      <c r="L522" s="21" t="s">
        <v>26</v>
      </c>
      <c r="M522" s="24">
        <v>1.0</v>
      </c>
      <c r="X522" s="24"/>
      <c r="Y522" s="21"/>
      <c r="Z522" s="24"/>
    </row>
    <row r="523">
      <c r="A523" s="21" t="s">
        <v>1066</v>
      </c>
      <c r="B523" s="21" t="s">
        <v>1067</v>
      </c>
      <c r="C523" s="22">
        <v>45117.0</v>
      </c>
      <c r="D523" s="22" t="str">
        <f t="shared" si="1"/>
        <v>07.2023</v>
      </c>
      <c r="E523" s="22">
        <v>45129.0</v>
      </c>
      <c r="F523" s="21" t="s">
        <v>29</v>
      </c>
      <c r="G523" s="23">
        <v>1.3</v>
      </c>
      <c r="H523" s="24">
        <v>98.0</v>
      </c>
      <c r="I523" s="24">
        <v>1.0</v>
      </c>
      <c r="J523" s="24">
        <v>41.0</v>
      </c>
      <c r="K523" s="21" t="s">
        <v>23</v>
      </c>
      <c r="L523" s="21" t="s">
        <v>16</v>
      </c>
      <c r="M523" s="24">
        <v>1.0</v>
      </c>
      <c r="X523" s="24"/>
      <c r="Y523" s="21"/>
      <c r="Z523" s="24"/>
    </row>
    <row r="524">
      <c r="A524" s="21" t="s">
        <v>1068</v>
      </c>
      <c r="B524" s="21" t="s">
        <v>1069</v>
      </c>
      <c r="C524" s="22">
        <v>44952.0</v>
      </c>
      <c r="D524" s="22" t="str">
        <f t="shared" si="1"/>
        <v>01.2023</v>
      </c>
      <c r="E524" s="22">
        <v>44964.0</v>
      </c>
      <c r="F524" s="21" t="s">
        <v>29</v>
      </c>
      <c r="G524" s="23">
        <v>4.2</v>
      </c>
      <c r="H524" s="24">
        <v>16.0</v>
      </c>
      <c r="I524" s="24">
        <v>1.0</v>
      </c>
      <c r="J524" s="24">
        <v>17.0</v>
      </c>
      <c r="K524" s="21" t="s">
        <v>15</v>
      </c>
      <c r="L524" s="21" t="s">
        <v>16</v>
      </c>
      <c r="M524" s="24">
        <v>0.0</v>
      </c>
      <c r="X524" s="24"/>
      <c r="Y524" s="21"/>
      <c r="Z524" s="24"/>
    </row>
    <row r="525">
      <c r="A525" s="21" t="s">
        <v>1070</v>
      </c>
      <c r="B525" s="21" t="s">
        <v>1071</v>
      </c>
      <c r="C525" s="22">
        <v>45272.0</v>
      </c>
      <c r="D525" s="22" t="str">
        <f t="shared" si="1"/>
        <v>12.2023</v>
      </c>
      <c r="E525" s="22">
        <v>45284.0</v>
      </c>
      <c r="F525" s="21" t="s">
        <v>29</v>
      </c>
      <c r="G525" s="23">
        <v>0.9</v>
      </c>
      <c r="H525" s="24">
        <v>44.0</v>
      </c>
      <c r="I525" s="24">
        <v>0.0</v>
      </c>
      <c r="J525" s="24">
        <v>55.0</v>
      </c>
      <c r="K525" s="21" t="s">
        <v>32</v>
      </c>
      <c r="L525" s="21" t="s">
        <v>16</v>
      </c>
      <c r="M525" s="24">
        <v>0.0</v>
      </c>
      <c r="X525" s="24"/>
      <c r="Y525" s="21"/>
      <c r="Z525" s="24"/>
    </row>
    <row r="526">
      <c r="A526" s="21" t="s">
        <v>1072</v>
      </c>
      <c r="B526" s="21" t="s">
        <v>1073</v>
      </c>
      <c r="C526" s="22">
        <v>45220.0</v>
      </c>
      <c r="D526" s="22" t="str">
        <f t="shared" si="1"/>
        <v>10.2023</v>
      </c>
      <c r="E526" s="22">
        <v>45232.0</v>
      </c>
      <c r="F526" s="21" t="s">
        <v>38</v>
      </c>
      <c r="G526" s="23">
        <v>0.5</v>
      </c>
      <c r="H526" s="24">
        <v>40.0</v>
      </c>
      <c r="I526" s="24">
        <v>0.0</v>
      </c>
      <c r="J526" s="24">
        <v>18.0</v>
      </c>
      <c r="K526" s="21" t="s">
        <v>23</v>
      </c>
      <c r="L526" s="21" t="s">
        <v>16</v>
      </c>
      <c r="M526" s="24">
        <v>1.0</v>
      </c>
      <c r="X526" s="24"/>
      <c r="Y526" s="21"/>
      <c r="Z526" s="24"/>
    </row>
    <row r="527">
      <c r="A527" s="21" t="s">
        <v>1074</v>
      </c>
      <c r="B527" s="21" t="s">
        <v>1075</v>
      </c>
      <c r="C527" s="22">
        <v>45129.0</v>
      </c>
      <c r="D527" s="22" t="str">
        <f t="shared" si="1"/>
        <v>07.2023</v>
      </c>
      <c r="E527" s="22">
        <v>45141.0</v>
      </c>
      <c r="F527" s="21" t="s">
        <v>14</v>
      </c>
      <c r="G527" s="23">
        <v>2.0</v>
      </c>
      <c r="H527" s="24">
        <v>86.0</v>
      </c>
      <c r="I527" s="24">
        <v>1.0</v>
      </c>
      <c r="J527" s="24">
        <v>21.0</v>
      </c>
      <c r="K527" s="21" t="s">
        <v>23</v>
      </c>
      <c r="L527" s="21" t="s">
        <v>26</v>
      </c>
      <c r="M527" s="24">
        <v>0.0</v>
      </c>
      <c r="X527" s="24"/>
      <c r="Y527" s="21"/>
      <c r="Z527" s="24"/>
    </row>
    <row r="528">
      <c r="A528" s="21" t="s">
        <v>1076</v>
      </c>
      <c r="B528" s="21" t="s">
        <v>1077</v>
      </c>
      <c r="C528" s="22">
        <v>45151.0</v>
      </c>
      <c r="D528" s="22" t="str">
        <f t="shared" si="1"/>
        <v>08.2023</v>
      </c>
      <c r="E528" s="22">
        <v>45163.0</v>
      </c>
      <c r="F528" s="21" t="s">
        <v>22</v>
      </c>
      <c r="G528" s="23">
        <v>1.7</v>
      </c>
      <c r="H528" s="24">
        <v>62.0</v>
      </c>
      <c r="I528" s="24">
        <v>1.0</v>
      </c>
      <c r="J528" s="24">
        <v>31.0</v>
      </c>
      <c r="K528" s="21" t="s">
        <v>19</v>
      </c>
      <c r="L528" s="21" t="s">
        <v>16</v>
      </c>
      <c r="M528" s="24">
        <v>0.0</v>
      </c>
      <c r="X528" s="24"/>
      <c r="Y528" s="21"/>
      <c r="Z528" s="24"/>
    </row>
    <row r="529">
      <c r="A529" s="21" t="s">
        <v>1078</v>
      </c>
      <c r="B529" s="21" t="s">
        <v>1079</v>
      </c>
      <c r="C529" s="22">
        <v>45122.0</v>
      </c>
      <c r="D529" s="22" t="str">
        <f t="shared" si="1"/>
        <v>07.2023</v>
      </c>
      <c r="E529" s="22">
        <v>45134.0</v>
      </c>
      <c r="F529" s="21" t="s">
        <v>38</v>
      </c>
      <c r="G529" s="23">
        <v>3.1</v>
      </c>
      <c r="H529" s="24">
        <v>58.0</v>
      </c>
      <c r="I529" s="24">
        <v>0.0</v>
      </c>
      <c r="J529" s="24">
        <v>15.0</v>
      </c>
      <c r="K529" s="21" t="s">
        <v>23</v>
      </c>
      <c r="L529" s="21" t="s">
        <v>47</v>
      </c>
      <c r="M529" s="24">
        <v>0.0</v>
      </c>
      <c r="X529" s="24"/>
      <c r="Y529" s="21"/>
      <c r="Z529" s="24"/>
    </row>
    <row r="530">
      <c r="A530" s="21" t="s">
        <v>1080</v>
      </c>
      <c r="B530" s="21" t="s">
        <v>1081</v>
      </c>
      <c r="C530" s="22">
        <v>45054.0</v>
      </c>
      <c r="D530" s="22" t="str">
        <f t="shared" si="1"/>
        <v>05.2023</v>
      </c>
      <c r="E530" s="22">
        <v>45066.0</v>
      </c>
      <c r="F530" s="21" t="s">
        <v>14</v>
      </c>
      <c r="G530" s="23">
        <v>0.2</v>
      </c>
      <c r="H530" s="24">
        <v>92.0</v>
      </c>
      <c r="I530" s="24">
        <v>1.0</v>
      </c>
      <c r="J530" s="24">
        <v>36.0</v>
      </c>
      <c r="K530" s="21" t="s">
        <v>15</v>
      </c>
      <c r="L530" s="21" t="s">
        <v>26</v>
      </c>
      <c r="M530" s="24">
        <v>0.0</v>
      </c>
      <c r="X530" s="24"/>
      <c r="Y530" s="21"/>
      <c r="Z530" s="24"/>
    </row>
    <row r="531">
      <c r="A531" s="21" t="s">
        <v>1082</v>
      </c>
      <c r="B531" s="21" t="s">
        <v>1083</v>
      </c>
      <c r="C531" s="22">
        <v>45118.0</v>
      </c>
      <c r="D531" s="22" t="str">
        <f t="shared" si="1"/>
        <v>07.2023</v>
      </c>
      <c r="E531" s="22">
        <v>45130.0</v>
      </c>
      <c r="F531" s="21" t="s">
        <v>29</v>
      </c>
      <c r="G531" s="23">
        <v>1.9</v>
      </c>
      <c r="H531" s="24">
        <v>29.0</v>
      </c>
      <c r="I531" s="24">
        <v>1.0</v>
      </c>
      <c r="J531" s="24">
        <v>28.0</v>
      </c>
      <c r="K531" s="21" t="s">
        <v>19</v>
      </c>
      <c r="L531" s="21" t="s">
        <v>47</v>
      </c>
      <c r="M531" s="24">
        <v>1.0</v>
      </c>
      <c r="X531" s="24"/>
      <c r="Y531" s="21"/>
      <c r="Z531" s="24"/>
    </row>
    <row r="532">
      <c r="A532" s="21" t="s">
        <v>1084</v>
      </c>
      <c r="B532" s="21" t="s">
        <v>1085</v>
      </c>
      <c r="C532" s="22">
        <v>45140.0</v>
      </c>
      <c r="D532" s="22" t="str">
        <f t="shared" si="1"/>
        <v>08.2023</v>
      </c>
      <c r="E532" s="22">
        <v>45152.0</v>
      </c>
      <c r="F532" s="21" t="s">
        <v>14</v>
      </c>
      <c r="G532" s="23">
        <v>2.4</v>
      </c>
      <c r="H532" s="24">
        <v>96.0</v>
      </c>
      <c r="I532" s="24">
        <v>1.0</v>
      </c>
      <c r="J532" s="24">
        <v>20.0</v>
      </c>
      <c r="K532" s="21" t="s">
        <v>32</v>
      </c>
      <c r="L532" s="21" t="s">
        <v>47</v>
      </c>
      <c r="M532" s="24">
        <v>1.0</v>
      </c>
      <c r="X532" s="24"/>
      <c r="Y532" s="21"/>
      <c r="Z532" s="24"/>
    </row>
    <row r="533">
      <c r="A533" s="21" t="s">
        <v>1086</v>
      </c>
      <c r="B533" s="21" t="s">
        <v>1087</v>
      </c>
      <c r="C533" s="22">
        <v>45004.0</v>
      </c>
      <c r="D533" s="22" t="str">
        <f t="shared" si="1"/>
        <v>03.2023</v>
      </c>
      <c r="E533" s="22">
        <v>45016.0</v>
      </c>
      <c r="F533" s="21" t="s">
        <v>38</v>
      </c>
      <c r="G533" s="23">
        <v>2.8</v>
      </c>
      <c r="H533" s="24">
        <v>20.0</v>
      </c>
      <c r="I533" s="24">
        <v>0.0</v>
      </c>
      <c r="J533" s="24">
        <v>38.0</v>
      </c>
      <c r="K533" s="21" t="s">
        <v>23</v>
      </c>
      <c r="L533" s="21" t="s">
        <v>26</v>
      </c>
      <c r="M533" s="24">
        <v>0.0</v>
      </c>
      <c r="X533" s="24"/>
      <c r="Y533" s="21"/>
      <c r="Z533" s="24"/>
    </row>
    <row r="534">
      <c r="A534" s="21" t="s">
        <v>1088</v>
      </c>
      <c r="B534" s="21" t="s">
        <v>1089</v>
      </c>
      <c r="C534" s="22">
        <v>45023.0</v>
      </c>
      <c r="D534" s="22" t="str">
        <f t="shared" si="1"/>
        <v>04.2023</v>
      </c>
      <c r="E534" s="22">
        <v>45035.0</v>
      </c>
      <c r="F534" s="21" t="s">
        <v>38</v>
      </c>
      <c r="G534" s="23">
        <v>3.7</v>
      </c>
      <c r="H534" s="24">
        <v>13.0</v>
      </c>
      <c r="I534" s="24">
        <v>1.0</v>
      </c>
      <c r="J534" s="24">
        <v>16.0</v>
      </c>
      <c r="K534" s="21" t="s">
        <v>32</v>
      </c>
      <c r="L534" s="21" t="s">
        <v>47</v>
      </c>
      <c r="M534" s="24">
        <v>1.0</v>
      </c>
      <c r="X534" s="24"/>
      <c r="Y534" s="21"/>
      <c r="Z534" s="24"/>
    </row>
    <row r="535">
      <c r="A535" s="21" t="s">
        <v>1090</v>
      </c>
      <c r="B535" s="21" t="s">
        <v>1091</v>
      </c>
      <c r="C535" s="22">
        <v>45033.0</v>
      </c>
      <c r="D535" s="22" t="str">
        <f t="shared" si="1"/>
        <v>04.2023</v>
      </c>
      <c r="E535" s="22">
        <v>45045.0</v>
      </c>
      <c r="F535" s="21" t="s">
        <v>38</v>
      </c>
      <c r="G535" s="23">
        <v>2.6</v>
      </c>
      <c r="H535" s="24">
        <v>45.0</v>
      </c>
      <c r="I535" s="24">
        <v>0.0</v>
      </c>
      <c r="J535" s="24">
        <v>52.0</v>
      </c>
      <c r="K535" s="21" t="s">
        <v>23</v>
      </c>
      <c r="L535" s="21" t="s">
        <v>16</v>
      </c>
      <c r="M535" s="24">
        <v>0.0</v>
      </c>
      <c r="X535" s="24"/>
      <c r="Y535" s="21"/>
      <c r="Z535" s="24"/>
    </row>
    <row r="536">
      <c r="A536" s="21" t="s">
        <v>1092</v>
      </c>
      <c r="B536" s="21" t="s">
        <v>1093</v>
      </c>
      <c r="C536" s="22">
        <v>44932.0</v>
      </c>
      <c r="D536" s="22" t="str">
        <f t="shared" si="1"/>
        <v>01.2023</v>
      </c>
      <c r="E536" s="22">
        <v>44944.0</v>
      </c>
      <c r="F536" s="21" t="s">
        <v>22</v>
      </c>
      <c r="G536" s="23">
        <v>4.4</v>
      </c>
      <c r="H536" s="24">
        <v>3.0</v>
      </c>
      <c r="I536" s="24">
        <v>1.0</v>
      </c>
      <c r="J536" s="24">
        <v>51.0</v>
      </c>
      <c r="K536" s="21" t="s">
        <v>35</v>
      </c>
      <c r="L536" s="21" t="s">
        <v>26</v>
      </c>
      <c r="M536" s="24">
        <v>1.0</v>
      </c>
      <c r="X536" s="24"/>
      <c r="Y536" s="21"/>
      <c r="Z536" s="24"/>
    </row>
    <row r="537">
      <c r="A537" s="21" t="s">
        <v>1094</v>
      </c>
      <c r="B537" s="21" t="s">
        <v>1095</v>
      </c>
      <c r="C537" s="22">
        <v>45204.0</v>
      </c>
      <c r="D537" s="22" t="str">
        <f t="shared" si="1"/>
        <v>10.2023</v>
      </c>
      <c r="E537" s="22">
        <v>45216.0</v>
      </c>
      <c r="F537" s="21" t="s">
        <v>29</v>
      </c>
      <c r="G537" s="23">
        <v>0.4</v>
      </c>
      <c r="H537" s="24">
        <v>66.0</v>
      </c>
      <c r="I537" s="24">
        <v>1.0</v>
      </c>
      <c r="J537" s="24">
        <v>12.0</v>
      </c>
      <c r="K537" s="21" t="s">
        <v>23</v>
      </c>
      <c r="L537" s="21" t="s">
        <v>16</v>
      </c>
      <c r="M537" s="24">
        <v>1.0</v>
      </c>
      <c r="X537" s="24"/>
      <c r="Y537" s="21"/>
      <c r="Z537" s="24"/>
    </row>
    <row r="538">
      <c r="A538" s="21" t="s">
        <v>1096</v>
      </c>
      <c r="B538" s="21" t="s">
        <v>1097</v>
      </c>
      <c r="C538" s="22">
        <v>45095.0</v>
      </c>
      <c r="D538" s="22" t="str">
        <f t="shared" si="1"/>
        <v>06.2023</v>
      </c>
      <c r="E538" s="22">
        <v>45107.0</v>
      </c>
      <c r="F538" s="21" t="s">
        <v>14</v>
      </c>
      <c r="G538" s="23">
        <v>4.7</v>
      </c>
      <c r="H538" s="24">
        <v>78.0</v>
      </c>
      <c r="I538" s="24">
        <v>1.0</v>
      </c>
      <c r="J538" s="24">
        <v>45.0</v>
      </c>
      <c r="K538" s="21" t="s">
        <v>35</v>
      </c>
      <c r="L538" s="21" t="s">
        <v>47</v>
      </c>
      <c r="M538" s="24">
        <v>0.0</v>
      </c>
      <c r="X538" s="24"/>
      <c r="Y538" s="21"/>
      <c r="Z538" s="24"/>
    </row>
    <row r="539">
      <c r="A539" s="21" t="s">
        <v>1098</v>
      </c>
      <c r="B539" s="21" t="s">
        <v>1099</v>
      </c>
      <c r="C539" s="22">
        <v>45068.0</v>
      </c>
      <c r="D539" s="22" t="str">
        <f t="shared" si="1"/>
        <v>05.2023</v>
      </c>
      <c r="E539" s="22">
        <v>45080.0</v>
      </c>
      <c r="F539" s="21" t="s">
        <v>14</v>
      </c>
      <c r="G539" s="23">
        <v>3.9</v>
      </c>
      <c r="H539" s="24">
        <v>57.0</v>
      </c>
      <c r="I539" s="24">
        <v>0.0</v>
      </c>
      <c r="J539" s="24">
        <v>42.0</v>
      </c>
      <c r="K539" s="21" t="s">
        <v>19</v>
      </c>
      <c r="L539" s="21" t="s">
        <v>16</v>
      </c>
      <c r="M539" s="24">
        <v>1.0</v>
      </c>
      <c r="X539" s="24"/>
      <c r="Y539" s="21"/>
      <c r="Z539" s="24"/>
    </row>
    <row r="540">
      <c r="A540" s="21" t="s">
        <v>1100</v>
      </c>
      <c r="B540" s="21" t="s">
        <v>1101</v>
      </c>
      <c r="C540" s="22">
        <v>44954.0</v>
      </c>
      <c r="D540" s="22" t="str">
        <f t="shared" si="1"/>
        <v>01.2023</v>
      </c>
      <c r="E540" s="22">
        <v>44966.0</v>
      </c>
      <c r="F540" s="21" t="s">
        <v>14</v>
      </c>
      <c r="G540" s="23">
        <v>0.1</v>
      </c>
      <c r="H540" s="24">
        <v>59.0</v>
      </c>
      <c r="I540" s="24">
        <v>0.0</v>
      </c>
      <c r="J540" s="24">
        <v>23.0</v>
      </c>
      <c r="K540" s="21" t="s">
        <v>35</v>
      </c>
      <c r="L540" s="21" t="s">
        <v>16</v>
      </c>
      <c r="M540" s="24">
        <v>1.0</v>
      </c>
      <c r="X540" s="24"/>
      <c r="Y540" s="21"/>
      <c r="Z540" s="24"/>
    </row>
    <row r="541">
      <c r="A541" s="21" t="s">
        <v>1102</v>
      </c>
      <c r="B541" s="21" t="s">
        <v>1103</v>
      </c>
      <c r="C541" s="22">
        <v>44961.0</v>
      </c>
      <c r="D541" s="22" t="str">
        <f t="shared" si="1"/>
        <v>02.2023</v>
      </c>
      <c r="E541" s="22">
        <v>44973.0</v>
      </c>
      <c r="F541" s="21" t="s">
        <v>14</v>
      </c>
      <c r="G541" s="23">
        <v>2.7</v>
      </c>
      <c r="H541" s="24">
        <v>35.0</v>
      </c>
      <c r="I541" s="24">
        <v>1.0</v>
      </c>
      <c r="J541" s="24">
        <v>22.0</v>
      </c>
      <c r="K541" s="21" t="s">
        <v>23</v>
      </c>
      <c r="L541" s="21" t="s">
        <v>26</v>
      </c>
      <c r="M541" s="24">
        <v>1.0</v>
      </c>
      <c r="X541" s="24"/>
      <c r="Y541" s="21"/>
      <c r="Z541" s="24"/>
    </row>
    <row r="542">
      <c r="A542" s="21" t="s">
        <v>1104</v>
      </c>
      <c r="B542" s="21" t="s">
        <v>1105</v>
      </c>
      <c r="C542" s="22">
        <v>44982.0</v>
      </c>
      <c r="D542" s="22" t="str">
        <f t="shared" si="1"/>
        <v>02.2023</v>
      </c>
      <c r="E542" s="22">
        <v>44994.0</v>
      </c>
      <c r="F542" s="21" t="s">
        <v>14</v>
      </c>
      <c r="G542" s="23">
        <v>5.0</v>
      </c>
      <c r="H542" s="24">
        <v>77.0</v>
      </c>
      <c r="I542" s="24">
        <v>1.0</v>
      </c>
      <c r="J542" s="24">
        <v>33.0</v>
      </c>
      <c r="K542" s="21" t="s">
        <v>35</v>
      </c>
      <c r="L542" s="21" t="s">
        <v>47</v>
      </c>
      <c r="M542" s="24">
        <v>1.0</v>
      </c>
      <c r="X542" s="24"/>
      <c r="Y542" s="21"/>
      <c r="Z542" s="24"/>
    </row>
    <row r="543">
      <c r="A543" s="21" t="s">
        <v>1106</v>
      </c>
      <c r="B543" s="21" t="s">
        <v>1107</v>
      </c>
      <c r="C543" s="22">
        <v>45176.0</v>
      </c>
      <c r="D543" s="22" t="str">
        <f t="shared" si="1"/>
        <v>09.2023</v>
      </c>
      <c r="E543" s="22">
        <v>45188.0</v>
      </c>
      <c r="F543" s="21" t="s">
        <v>22</v>
      </c>
      <c r="G543" s="23">
        <v>3.5</v>
      </c>
      <c r="H543" s="24">
        <v>55.0</v>
      </c>
      <c r="I543" s="24">
        <v>1.0</v>
      </c>
      <c r="J543" s="24">
        <v>32.0</v>
      </c>
      <c r="K543" s="21" t="s">
        <v>15</v>
      </c>
      <c r="L543" s="21" t="s">
        <v>26</v>
      </c>
      <c r="M543" s="24">
        <v>0.0</v>
      </c>
      <c r="X543" s="24"/>
      <c r="Y543" s="21"/>
      <c r="Z543" s="24"/>
    </row>
    <row r="544">
      <c r="A544" s="21" t="s">
        <v>1108</v>
      </c>
      <c r="B544" s="21" t="s">
        <v>1109</v>
      </c>
      <c r="C544" s="22">
        <v>44971.0</v>
      </c>
      <c r="D544" s="22" t="str">
        <f t="shared" si="1"/>
        <v>02.2023</v>
      </c>
      <c r="E544" s="22">
        <v>44983.0</v>
      </c>
      <c r="F544" s="21" t="s">
        <v>29</v>
      </c>
      <c r="G544" s="23">
        <v>4.8</v>
      </c>
      <c r="H544" s="24">
        <v>43.0</v>
      </c>
      <c r="I544" s="24">
        <v>1.0</v>
      </c>
      <c r="J544" s="24">
        <v>26.0</v>
      </c>
      <c r="K544" s="21" t="s">
        <v>23</v>
      </c>
      <c r="L544" s="21" t="s">
        <v>16</v>
      </c>
      <c r="M544" s="24">
        <v>1.0</v>
      </c>
      <c r="X544" s="24"/>
      <c r="Y544" s="21"/>
      <c r="Z544" s="24"/>
    </row>
    <row r="545">
      <c r="A545" s="21" t="s">
        <v>1110</v>
      </c>
      <c r="B545" s="21" t="s">
        <v>1111</v>
      </c>
      <c r="C545" s="22">
        <v>45158.0</v>
      </c>
      <c r="D545" s="22" t="str">
        <f t="shared" si="1"/>
        <v>08.2023</v>
      </c>
      <c r="E545" s="22">
        <v>45170.0</v>
      </c>
      <c r="F545" s="21" t="s">
        <v>38</v>
      </c>
      <c r="G545" s="23">
        <v>4.3</v>
      </c>
      <c r="H545" s="24">
        <v>9.0</v>
      </c>
      <c r="I545" s="24">
        <v>1.0</v>
      </c>
      <c r="J545" s="24">
        <v>19.0</v>
      </c>
      <c r="K545" s="21" t="s">
        <v>15</v>
      </c>
      <c r="L545" s="21" t="s">
        <v>47</v>
      </c>
      <c r="M545" s="24">
        <v>1.0</v>
      </c>
      <c r="X545" s="24"/>
      <c r="Y545" s="21"/>
      <c r="Z545" s="24"/>
    </row>
    <row r="546">
      <c r="A546" s="21" t="s">
        <v>1112</v>
      </c>
      <c r="B546" s="21" t="s">
        <v>1113</v>
      </c>
      <c r="C546" s="22">
        <v>45103.0</v>
      </c>
      <c r="D546" s="22" t="str">
        <f t="shared" si="1"/>
        <v>06.2023</v>
      </c>
      <c r="E546" s="22">
        <v>45115.0</v>
      </c>
      <c r="F546" s="21" t="s">
        <v>22</v>
      </c>
      <c r="G546" s="23">
        <v>4.9</v>
      </c>
      <c r="H546" s="24">
        <v>27.0</v>
      </c>
      <c r="I546" s="24">
        <v>1.0</v>
      </c>
      <c r="J546" s="24">
        <v>44.0</v>
      </c>
      <c r="K546" s="21" t="s">
        <v>23</v>
      </c>
      <c r="L546" s="21" t="s">
        <v>47</v>
      </c>
      <c r="M546" s="24">
        <v>0.0</v>
      </c>
      <c r="X546" s="24"/>
      <c r="Y546" s="21"/>
      <c r="Z546" s="24"/>
    </row>
    <row r="547">
      <c r="A547" s="21" t="s">
        <v>1114</v>
      </c>
      <c r="B547" s="21" t="s">
        <v>1115</v>
      </c>
      <c r="C547" s="22">
        <v>45234.0</v>
      </c>
      <c r="D547" s="22" t="str">
        <f t="shared" si="1"/>
        <v>11.2023</v>
      </c>
      <c r="E547" s="22">
        <v>45246.0</v>
      </c>
      <c r="F547" s="21" t="s">
        <v>29</v>
      </c>
      <c r="G547" s="23">
        <v>2.9</v>
      </c>
      <c r="H547" s="24">
        <v>50.0</v>
      </c>
      <c r="I547" s="24">
        <v>1.0</v>
      </c>
      <c r="J547" s="24">
        <v>48.0</v>
      </c>
      <c r="K547" s="21" t="s">
        <v>32</v>
      </c>
      <c r="L547" s="21" t="s">
        <v>16</v>
      </c>
      <c r="M547" s="24">
        <v>1.0</v>
      </c>
      <c r="X547" s="24"/>
      <c r="Y547" s="21"/>
      <c r="Z547" s="24"/>
    </row>
    <row r="548">
      <c r="A548" s="21" t="s">
        <v>1116</v>
      </c>
      <c r="B548" s="21" t="s">
        <v>1117</v>
      </c>
      <c r="C548" s="22">
        <v>45242.0</v>
      </c>
      <c r="D548" s="22" t="str">
        <f t="shared" si="1"/>
        <v>11.2023</v>
      </c>
      <c r="E548" s="22">
        <v>45254.0</v>
      </c>
      <c r="F548" s="21" t="s">
        <v>14</v>
      </c>
      <c r="G548" s="23">
        <v>2.1</v>
      </c>
      <c r="H548" s="24">
        <v>25.0</v>
      </c>
      <c r="I548" s="24">
        <v>1.0</v>
      </c>
      <c r="J548" s="24">
        <v>21.0</v>
      </c>
      <c r="K548" s="21" t="s">
        <v>32</v>
      </c>
      <c r="L548" s="21" t="s">
        <v>16</v>
      </c>
      <c r="M548" s="24">
        <v>1.0</v>
      </c>
      <c r="X548" s="24"/>
      <c r="Y548" s="21"/>
      <c r="Z548" s="24"/>
    </row>
    <row r="549">
      <c r="A549" s="21" t="s">
        <v>1118</v>
      </c>
      <c r="B549" s="21" t="s">
        <v>1119</v>
      </c>
      <c r="C549" s="22">
        <v>44944.0</v>
      </c>
      <c r="D549" s="22" t="str">
        <f t="shared" si="1"/>
        <v>01.2023</v>
      </c>
      <c r="E549" s="22">
        <v>44956.0</v>
      </c>
      <c r="F549" s="21" t="s">
        <v>29</v>
      </c>
      <c r="G549" s="23">
        <v>2.2</v>
      </c>
      <c r="H549" s="24">
        <v>24.0</v>
      </c>
      <c r="I549" s="24">
        <v>1.0</v>
      </c>
      <c r="J549" s="24">
        <v>43.0</v>
      </c>
      <c r="K549" s="21" t="s">
        <v>35</v>
      </c>
      <c r="L549" s="21" t="s">
        <v>47</v>
      </c>
      <c r="M549" s="24">
        <v>0.0</v>
      </c>
      <c r="X549" s="24"/>
      <c r="Y549" s="21"/>
      <c r="Z549" s="24"/>
    </row>
    <row r="550">
      <c r="A550" s="21" t="s">
        <v>1120</v>
      </c>
      <c r="B550" s="21" t="s">
        <v>1121</v>
      </c>
      <c r="C550" s="22">
        <v>45279.0</v>
      </c>
      <c r="D550" s="22" t="str">
        <f t="shared" si="1"/>
        <v>12.2023</v>
      </c>
      <c r="E550" s="22">
        <v>45291.0</v>
      </c>
      <c r="F550" s="21" t="s">
        <v>29</v>
      </c>
      <c r="G550" s="23">
        <v>3.8</v>
      </c>
      <c r="H550" s="24">
        <v>34.0</v>
      </c>
      <c r="I550" s="24">
        <v>1.0</v>
      </c>
      <c r="J550" s="24">
        <v>13.0</v>
      </c>
      <c r="K550" s="21" t="s">
        <v>32</v>
      </c>
      <c r="L550" s="21" t="s">
        <v>47</v>
      </c>
      <c r="M550" s="24">
        <v>0.0</v>
      </c>
      <c r="X550" s="24"/>
      <c r="Y550" s="21"/>
      <c r="Z550" s="24"/>
    </row>
    <row r="551">
      <c r="A551" s="21" t="s">
        <v>1122</v>
      </c>
      <c r="B551" s="21" t="s">
        <v>1123</v>
      </c>
      <c r="C551" s="22">
        <v>45151.0</v>
      </c>
      <c r="D551" s="22" t="str">
        <f t="shared" si="1"/>
        <v>08.2023</v>
      </c>
      <c r="E551" s="22">
        <v>45163.0</v>
      </c>
      <c r="F551" s="21" t="s">
        <v>22</v>
      </c>
      <c r="G551" s="23">
        <v>1.1</v>
      </c>
      <c r="H551" s="24">
        <v>75.0</v>
      </c>
      <c r="I551" s="24">
        <v>0.0</v>
      </c>
      <c r="J551" s="24">
        <v>23.0</v>
      </c>
      <c r="K551" s="21" t="s">
        <v>19</v>
      </c>
      <c r="L551" s="21" t="s">
        <v>47</v>
      </c>
      <c r="M551" s="24">
        <v>0.0</v>
      </c>
      <c r="X551" s="24"/>
      <c r="Y551" s="21"/>
      <c r="Z551" s="24"/>
    </row>
    <row r="552">
      <c r="A552" s="21" t="s">
        <v>1124</v>
      </c>
      <c r="B552" s="21" t="s">
        <v>1125</v>
      </c>
      <c r="C552" s="22">
        <v>45194.0</v>
      </c>
      <c r="D552" s="22" t="str">
        <f t="shared" si="1"/>
        <v>09.2023</v>
      </c>
      <c r="E552" s="22">
        <v>45206.0</v>
      </c>
      <c r="F552" s="21" t="s">
        <v>38</v>
      </c>
      <c r="G552" s="23">
        <v>2.3</v>
      </c>
      <c r="H552" s="24">
        <v>89.0</v>
      </c>
      <c r="I552" s="24">
        <v>0.0</v>
      </c>
      <c r="J552" s="24">
        <v>29.0</v>
      </c>
      <c r="K552" s="21" t="s">
        <v>35</v>
      </c>
      <c r="L552" s="21" t="s">
        <v>26</v>
      </c>
      <c r="M552" s="24">
        <v>0.0</v>
      </c>
      <c r="X552" s="24"/>
      <c r="Y552" s="21"/>
      <c r="Z552" s="24"/>
    </row>
    <row r="553">
      <c r="A553" s="21" t="s">
        <v>1126</v>
      </c>
      <c r="B553" s="21" t="s">
        <v>1127</v>
      </c>
      <c r="C553" s="22">
        <v>45125.0</v>
      </c>
      <c r="D553" s="22" t="str">
        <f t="shared" si="1"/>
        <v>07.2023</v>
      </c>
      <c r="E553" s="22">
        <v>45137.0</v>
      </c>
      <c r="F553" s="21" t="s">
        <v>22</v>
      </c>
      <c r="G553" s="23">
        <v>1.8</v>
      </c>
      <c r="H553" s="24">
        <v>28.0</v>
      </c>
      <c r="I553" s="24">
        <v>1.0</v>
      </c>
      <c r="J553" s="24">
        <v>45.0</v>
      </c>
      <c r="K553" s="21" t="s">
        <v>15</v>
      </c>
      <c r="L553" s="21" t="s">
        <v>16</v>
      </c>
      <c r="M553" s="24">
        <v>1.0</v>
      </c>
      <c r="X553" s="24"/>
      <c r="Y553" s="21"/>
      <c r="Z553" s="24"/>
    </row>
    <row r="554">
      <c r="A554" s="21" t="s">
        <v>1128</v>
      </c>
      <c r="B554" s="21" t="s">
        <v>1129</v>
      </c>
      <c r="C554" s="22">
        <v>45137.0</v>
      </c>
      <c r="D554" s="22" t="str">
        <f t="shared" si="1"/>
        <v>07.2023</v>
      </c>
      <c r="E554" s="22">
        <v>45149.0</v>
      </c>
      <c r="F554" s="21" t="s">
        <v>29</v>
      </c>
      <c r="G554" s="23">
        <v>4.1</v>
      </c>
      <c r="H554" s="24">
        <v>81.0</v>
      </c>
      <c r="I554" s="24">
        <v>0.0</v>
      </c>
      <c r="J554" s="24">
        <v>42.0</v>
      </c>
      <c r="K554" s="21" t="s">
        <v>32</v>
      </c>
      <c r="L554" s="21" t="s">
        <v>16</v>
      </c>
      <c r="M554" s="24">
        <v>1.0</v>
      </c>
      <c r="X554" s="24"/>
      <c r="Y554" s="21"/>
      <c r="Z554" s="24"/>
    </row>
    <row r="555">
      <c r="A555" s="21" t="s">
        <v>1130</v>
      </c>
      <c r="B555" s="21" t="s">
        <v>1131</v>
      </c>
      <c r="C555" s="22">
        <v>45216.0</v>
      </c>
      <c r="D555" s="22" t="str">
        <f t="shared" si="1"/>
        <v>10.2023</v>
      </c>
      <c r="E555" s="22">
        <v>45228.0</v>
      </c>
      <c r="F555" s="21" t="s">
        <v>29</v>
      </c>
      <c r="G555" s="23">
        <v>3.3</v>
      </c>
      <c r="H555" s="24">
        <v>82.0</v>
      </c>
      <c r="I555" s="24">
        <v>1.0</v>
      </c>
      <c r="J555" s="24">
        <v>50.0</v>
      </c>
      <c r="K555" s="21" t="s">
        <v>15</v>
      </c>
      <c r="L555" s="21" t="s">
        <v>16</v>
      </c>
      <c r="M555" s="24">
        <v>0.0</v>
      </c>
      <c r="X555" s="24"/>
      <c r="Y555" s="21"/>
      <c r="Z555" s="24"/>
    </row>
    <row r="556">
      <c r="A556" s="21" t="s">
        <v>1132</v>
      </c>
      <c r="B556" s="21" t="s">
        <v>1133</v>
      </c>
      <c r="C556" s="22">
        <v>44978.0</v>
      </c>
      <c r="D556" s="22" t="str">
        <f t="shared" si="1"/>
        <v>02.2023</v>
      </c>
      <c r="E556" s="22">
        <v>44990.0</v>
      </c>
      <c r="F556" s="21" t="s">
        <v>22</v>
      </c>
      <c r="G556" s="23">
        <v>3.0</v>
      </c>
      <c r="H556" s="24">
        <v>6.0</v>
      </c>
      <c r="I556" s="24">
        <v>1.0</v>
      </c>
      <c r="J556" s="24">
        <v>47.0</v>
      </c>
      <c r="K556" s="21" t="s">
        <v>35</v>
      </c>
      <c r="L556" s="21" t="s">
        <v>26</v>
      </c>
      <c r="M556" s="24">
        <v>1.0</v>
      </c>
      <c r="X556" s="24"/>
      <c r="Y556" s="21"/>
      <c r="Z556" s="24"/>
    </row>
    <row r="557">
      <c r="A557" s="21" t="s">
        <v>1134</v>
      </c>
      <c r="B557" s="21" t="s">
        <v>1135</v>
      </c>
      <c r="C557" s="22">
        <v>45252.0</v>
      </c>
      <c r="D557" s="22" t="str">
        <f t="shared" si="1"/>
        <v>11.2023</v>
      </c>
      <c r="E557" s="22">
        <v>45264.0</v>
      </c>
      <c r="F557" s="21" t="s">
        <v>29</v>
      </c>
      <c r="G557" s="23">
        <v>1.0</v>
      </c>
      <c r="H557" s="24">
        <v>68.0</v>
      </c>
      <c r="I557" s="24">
        <v>1.0</v>
      </c>
      <c r="J557" s="24">
        <v>17.0</v>
      </c>
      <c r="K557" s="21" t="s">
        <v>15</v>
      </c>
      <c r="L557" s="21" t="s">
        <v>47</v>
      </c>
      <c r="M557" s="24">
        <v>1.0</v>
      </c>
      <c r="X557" s="24"/>
      <c r="Y557" s="21"/>
      <c r="Z557" s="24"/>
    </row>
    <row r="558">
      <c r="A558" s="21" t="s">
        <v>1136</v>
      </c>
      <c r="B558" s="21" t="s">
        <v>1137</v>
      </c>
      <c r="C558" s="22">
        <v>45008.0</v>
      </c>
      <c r="D558" s="22" t="str">
        <f t="shared" si="1"/>
        <v>03.2023</v>
      </c>
      <c r="E558" s="22">
        <v>45020.0</v>
      </c>
      <c r="F558" s="21" t="s">
        <v>14</v>
      </c>
      <c r="G558" s="23">
        <v>1.5</v>
      </c>
      <c r="H558" s="24">
        <v>56.0</v>
      </c>
      <c r="I558" s="24">
        <v>0.0</v>
      </c>
      <c r="J558" s="24">
        <v>20.0</v>
      </c>
      <c r="K558" s="21" t="s">
        <v>23</v>
      </c>
      <c r="L558" s="21" t="s">
        <v>47</v>
      </c>
      <c r="M558" s="24">
        <v>1.0</v>
      </c>
      <c r="X558" s="24"/>
      <c r="Y558" s="21"/>
      <c r="Z558" s="24"/>
    </row>
    <row r="559">
      <c r="A559" s="21" t="s">
        <v>1138</v>
      </c>
      <c r="B559" s="21" t="s">
        <v>1139</v>
      </c>
      <c r="C559" s="22">
        <v>45193.0</v>
      </c>
      <c r="D559" s="22" t="str">
        <f t="shared" si="1"/>
        <v>09.2023</v>
      </c>
      <c r="E559" s="22">
        <v>45205.0</v>
      </c>
      <c r="F559" s="21" t="s">
        <v>29</v>
      </c>
      <c r="G559" s="23">
        <v>0.8</v>
      </c>
      <c r="H559" s="24">
        <v>14.0</v>
      </c>
      <c r="I559" s="24">
        <v>1.0</v>
      </c>
      <c r="J559" s="24">
        <v>24.0</v>
      </c>
      <c r="K559" s="21" t="s">
        <v>15</v>
      </c>
      <c r="L559" s="21" t="s">
        <v>26</v>
      </c>
      <c r="M559" s="24">
        <v>1.0</v>
      </c>
      <c r="X559" s="24"/>
      <c r="Y559" s="21"/>
      <c r="Z559" s="24"/>
    </row>
    <row r="560">
      <c r="A560" s="21" t="s">
        <v>1140</v>
      </c>
      <c r="B560" s="21" t="s">
        <v>1141</v>
      </c>
      <c r="C560" s="22">
        <v>45131.0</v>
      </c>
      <c r="D560" s="22" t="str">
        <f t="shared" si="1"/>
        <v>07.2023</v>
      </c>
      <c r="E560" s="22">
        <v>45143.0</v>
      </c>
      <c r="F560" s="21" t="s">
        <v>29</v>
      </c>
      <c r="G560" s="23">
        <v>0.6</v>
      </c>
      <c r="H560" s="24">
        <v>1.0</v>
      </c>
      <c r="I560" s="24">
        <v>1.0</v>
      </c>
      <c r="J560" s="24">
        <v>51.0</v>
      </c>
      <c r="K560" s="21" t="s">
        <v>35</v>
      </c>
      <c r="L560" s="21" t="s">
        <v>26</v>
      </c>
      <c r="M560" s="24">
        <v>1.0</v>
      </c>
      <c r="X560" s="24"/>
      <c r="Y560" s="21"/>
      <c r="Z560" s="24"/>
    </row>
    <row r="561">
      <c r="A561" s="21" t="s">
        <v>1142</v>
      </c>
      <c r="B561" s="21" t="s">
        <v>1143</v>
      </c>
      <c r="C561" s="22">
        <v>44968.0</v>
      </c>
      <c r="D561" s="22" t="str">
        <f t="shared" si="1"/>
        <v>02.2023</v>
      </c>
      <c r="E561" s="22">
        <v>44980.0</v>
      </c>
      <c r="F561" s="21" t="s">
        <v>14</v>
      </c>
      <c r="G561" s="23">
        <v>0.0</v>
      </c>
      <c r="H561" s="24">
        <v>52.0</v>
      </c>
      <c r="I561" s="24">
        <v>1.0</v>
      </c>
      <c r="J561" s="24">
        <v>28.0</v>
      </c>
      <c r="K561" s="21" t="s">
        <v>23</v>
      </c>
      <c r="L561" s="21" t="s">
        <v>47</v>
      </c>
      <c r="M561" s="24">
        <v>1.0</v>
      </c>
      <c r="X561" s="24"/>
      <c r="Y561" s="21"/>
      <c r="Z561" s="24"/>
    </row>
    <row r="562">
      <c r="A562" s="21" t="s">
        <v>1144</v>
      </c>
      <c r="B562" s="21" t="s">
        <v>1145</v>
      </c>
      <c r="C562" s="22">
        <v>45186.0</v>
      </c>
      <c r="D562" s="22" t="str">
        <f t="shared" si="1"/>
        <v>09.2023</v>
      </c>
      <c r="E562" s="22">
        <v>45198.0</v>
      </c>
      <c r="F562" s="21" t="s">
        <v>38</v>
      </c>
      <c r="G562" s="23">
        <v>3.4</v>
      </c>
      <c r="H562" s="24">
        <v>80.0</v>
      </c>
      <c r="I562" s="24">
        <v>1.0</v>
      </c>
      <c r="J562" s="24">
        <v>15.0</v>
      </c>
      <c r="K562" s="21" t="s">
        <v>19</v>
      </c>
      <c r="L562" s="21" t="s">
        <v>16</v>
      </c>
      <c r="M562" s="24">
        <v>0.0</v>
      </c>
      <c r="X562" s="24"/>
      <c r="Y562" s="21"/>
      <c r="Z562" s="24"/>
    </row>
    <row r="563">
      <c r="A563" s="21" t="s">
        <v>1146</v>
      </c>
      <c r="B563" s="21" t="s">
        <v>1147</v>
      </c>
      <c r="C563" s="22">
        <v>45159.0</v>
      </c>
      <c r="D563" s="22" t="str">
        <f t="shared" si="1"/>
        <v>08.2023</v>
      </c>
      <c r="E563" s="22">
        <v>45171.0</v>
      </c>
      <c r="F563" s="21" t="s">
        <v>22</v>
      </c>
      <c r="G563" s="23">
        <v>4.4</v>
      </c>
      <c r="H563" s="24">
        <v>61.0</v>
      </c>
      <c r="I563" s="24">
        <v>1.0</v>
      </c>
      <c r="J563" s="24">
        <v>52.0</v>
      </c>
      <c r="K563" s="21" t="s">
        <v>19</v>
      </c>
      <c r="L563" s="21" t="s">
        <v>16</v>
      </c>
      <c r="M563" s="24">
        <v>1.0</v>
      </c>
      <c r="X563" s="24"/>
      <c r="Y563" s="21"/>
      <c r="Z563" s="24"/>
    </row>
    <row r="564">
      <c r="A564" s="21" t="s">
        <v>1148</v>
      </c>
      <c r="B564" s="21" t="s">
        <v>1149</v>
      </c>
      <c r="C564" s="22">
        <v>45153.0</v>
      </c>
      <c r="D564" s="22" t="str">
        <f t="shared" si="1"/>
        <v>08.2023</v>
      </c>
      <c r="E564" s="22">
        <v>45165.0</v>
      </c>
      <c r="F564" s="21" t="s">
        <v>22</v>
      </c>
      <c r="G564" s="23">
        <v>2.7</v>
      </c>
      <c r="H564" s="24">
        <v>42.0</v>
      </c>
      <c r="I564" s="24">
        <v>1.0</v>
      </c>
      <c r="J564" s="24">
        <v>39.0</v>
      </c>
      <c r="K564" s="21" t="s">
        <v>15</v>
      </c>
      <c r="L564" s="21" t="s">
        <v>47</v>
      </c>
      <c r="M564" s="24">
        <v>0.0</v>
      </c>
      <c r="X564" s="24"/>
      <c r="Y564" s="21"/>
      <c r="Z564" s="24"/>
    </row>
    <row r="565">
      <c r="A565" s="21" t="s">
        <v>1150</v>
      </c>
      <c r="B565" s="21" t="s">
        <v>1151</v>
      </c>
      <c r="C565" s="22">
        <v>45277.0</v>
      </c>
      <c r="D565" s="22" t="str">
        <f t="shared" si="1"/>
        <v>12.2023</v>
      </c>
      <c r="E565" s="22">
        <v>45289.0</v>
      </c>
      <c r="F565" s="21" t="s">
        <v>38</v>
      </c>
      <c r="G565" s="23">
        <v>3.7</v>
      </c>
      <c r="H565" s="24">
        <v>38.0</v>
      </c>
      <c r="I565" s="24">
        <v>0.0</v>
      </c>
      <c r="J565" s="24">
        <v>40.0</v>
      </c>
      <c r="K565" s="21" t="s">
        <v>19</v>
      </c>
      <c r="L565" s="21" t="s">
        <v>26</v>
      </c>
      <c r="M565" s="24">
        <v>1.0</v>
      </c>
      <c r="X565" s="24"/>
      <c r="Y565" s="21"/>
      <c r="Z565" s="24"/>
    </row>
    <row r="566">
      <c r="A566" s="21" t="s">
        <v>1152</v>
      </c>
      <c r="B566" s="21" t="s">
        <v>1153</v>
      </c>
      <c r="C566" s="22">
        <v>45061.0</v>
      </c>
      <c r="D566" s="22" t="str">
        <f t="shared" si="1"/>
        <v>05.2023</v>
      </c>
      <c r="E566" s="22">
        <v>45073.0</v>
      </c>
      <c r="F566" s="21" t="s">
        <v>14</v>
      </c>
      <c r="G566" s="23">
        <v>4.2</v>
      </c>
      <c r="H566" s="24">
        <v>30.0</v>
      </c>
      <c r="I566" s="24">
        <v>0.0</v>
      </c>
      <c r="J566" s="24">
        <v>27.0</v>
      </c>
      <c r="K566" s="21" t="s">
        <v>15</v>
      </c>
      <c r="L566" s="21" t="s">
        <v>16</v>
      </c>
      <c r="M566" s="24">
        <v>0.0</v>
      </c>
      <c r="X566" s="24"/>
      <c r="Y566" s="21"/>
      <c r="Z566" s="24"/>
    </row>
    <row r="567">
      <c r="A567" s="21" t="s">
        <v>1154</v>
      </c>
      <c r="B567" s="21" t="s">
        <v>1155</v>
      </c>
      <c r="C567" s="22">
        <v>45247.0</v>
      </c>
      <c r="D567" s="22" t="str">
        <f t="shared" si="1"/>
        <v>11.2023</v>
      </c>
      <c r="E567" s="22">
        <v>45259.0</v>
      </c>
      <c r="F567" s="21" t="s">
        <v>38</v>
      </c>
      <c r="G567" s="23">
        <v>3.3</v>
      </c>
      <c r="H567" s="24">
        <v>31.0</v>
      </c>
      <c r="I567" s="24">
        <v>1.0</v>
      </c>
      <c r="J567" s="24">
        <v>30.0</v>
      </c>
      <c r="K567" s="21" t="s">
        <v>23</v>
      </c>
      <c r="L567" s="21" t="s">
        <v>47</v>
      </c>
      <c r="M567" s="24">
        <v>1.0</v>
      </c>
      <c r="X567" s="24"/>
      <c r="Y567" s="21"/>
      <c r="Z567" s="24"/>
    </row>
    <row r="568">
      <c r="A568" s="21" t="s">
        <v>1156</v>
      </c>
      <c r="B568" s="21" t="s">
        <v>1157</v>
      </c>
      <c r="C568" s="22">
        <v>44931.0</v>
      </c>
      <c r="D568" s="22" t="str">
        <f t="shared" si="1"/>
        <v>01.2023</v>
      </c>
      <c r="E568" s="22">
        <v>44943.0</v>
      </c>
      <c r="F568" s="21" t="s">
        <v>29</v>
      </c>
      <c r="G568" s="23">
        <v>4.5</v>
      </c>
      <c r="H568" s="24">
        <v>18.0</v>
      </c>
      <c r="I568" s="24">
        <v>1.0</v>
      </c>
      <c r="J568" s="24">
        <v>49.0</v>
      </c>
      <c r="K568" s="21" t="s">
        <v>35</v>
      </c>
      <c r="L568" s="21" t="s">
        <v>26</v>
      </c>
      <c r="M568" s="24">
        <v>0.0</v>
      </c>
      <c r="X568" s="24"/>
      <c r="Y568" s="21"/>
      <c r="Z568" s="24"/>
    </row>
    <row r="569">
      <c r="A569" s="21" t="s">
        <v>1158</v>
      </c>
      <c r="B569" s="21" t="s">
        <v>1159</v>
      </c>
      <c r="C569" s="22">
        <v>45059.0</v>
      </c>
      <c r="D569" s="22" t="str">
        <f t="shared" si="1"/>
        <v>05.2023</v>
      </c>
      <c r="E569" s="22">
        <v>45071.0</v>
      </c>
      <c r="F569" s="21" t="s">
        <v>22</v>
      </c>
      <c r="G569" s="23">
        <v>3.0</v>
      </c>
      <c r="H569" s="24">
        <v>87.0</v>
      </c>
      <c r="I569" s="24">
        <v>0.0</v>
      </c>
      <c r="J569" s="24">
        <v>31.0</v>
      </c>
      <c r="K569" s="21" t="s">
        <v>35</v>
      </c>
      <c r="L569" s="21" t="s">
        <v>47</v>
      </c>
      <c r="M569" s="24">
        <v>0.0</v>
      </c>
      <c r="X569" s="24"/>
      <c r="Y569" s="21"/>
      <c r="Z569" s="24"/>
    </row>
    <row r="570">
      <c r="A570" s="21" t="s">
        <v>1160</v>
      </c>
      <c r="B570" s="21" t="s">
        <v>1161</v>
      </c>
      <c r="C570" s="22">
        <v>44990.0</v>
      </c>
      <c r="D570" s="22" t="str">
        <f t="shared" si="1"/>
        <v>03.2023</v>
      </c>
      <c r="E570" s="22">
        <v>45002.0</v>
      </c>
      <c r="F570" s="21" t="s">
        <v>14</v>
      </c>
      <c r="G570" s="23">
        <v>0.7</v>
      </c>
      <c r="H570" s="24">
        <v>65.0</v>
      </c>
      <c r="I570" s="24">
        <v>0.0</v>
      </c>
      <c r="J570" s="24">
        <v>53.0</v>
      </c>
      <c r="K570" s="21" t="s">
        <v>15</v>
      </c>
      <c r="L570" s="21" t="s">
        <v>47</v>
      </c>
      <c r="M570" s="24">
        <v>1.0</v>
      </c>
      <c r="X570" s="24"/>
      <c r="Y570" s="21"/>
      <c r="Z570" s="24"/>
    </row>
    <row r="571">
      <c r="A571" s="21" t="s">
        <v>1162</v>
      </c>
      <c r="B571" s="21" t="s">
        <v>1163</v>
      </c>
      <c r="C571" s="22">
        <v>45163.0</v>
      </c>
      <c r="D571" s="22" t="str">
        <f t="shared" si="1"/>
        <v>08.2023</v>
      </c>
      <c r="E571" s="22">
        <v>45175.0</v>
      </c>
      <c r="F571" s="21" t="s">
        <v>22</v>
      </c>
      <c r="G571" s="23">
        <v>1.0</v>
      </c>
      <c r="H571" s="24">
        <v>8.0</v>
      </c>
      <c r="I571" s="24">
        <v>1.0</v>
      </c>
      <c r="J571" s="24">
        <v>56.0</v>
      </c>
      <c r="K571" s="21" t="s">
        <v>19</v>
      </c>
      <c r="L571" s="21" t="s">
        <v>16</v>
      </c>
      <c r="M571" s="24">
        <v>1.0</v>
      </c>
      <c r="X571" s="24"/>
      <c r="Y571" s="21"/>
      <c r="Z571" s="24"/>
    </row>
    <row r="572">
      <c r="A572" s="21" t="s">
        <v>1164</v>
      </c>
      <c r="B572" s="21" t="s">
        <v>1165</v>
      </c>
      <c r="C572" s="22">
        <v>45269.0</v>
      </c>
      <c r="D572" s="22" t="str">
        <f t="shared" si="1"/>
        <v>12.2023</v>
      </c>
      <c r="E572" s="22">
        <v>45281.0</v>
      </c>
      <c r="F572" s="21" t="s">
        <v>29</v>
      </c>
      <c r="G572" s="23">
        <v>2.1</v>
      </c>
      <c r="H572" s="24">
        <v>99.0</v>
      </c>
      <c r="I572" s="24">
        <v>1.0</v>
      </c>
      <c r="J572" s="24">
        <v>25.0</v>
      </c>
      <c r="K572" s="21" t="s">
        <v>32</v>
      </c>
      <c r="L572" s="21" t="s">
        <v>47</v>
      </c>
      <c r="M572" s="24">
        <v>1.0</v>
      </c>
      <c r="X572" s="24"/>
      <c r="Y572" s="21"/>
      <c r="Z572" s="24"/>
    </row>
    <row r="573">
      <c r="A573" s="21" t="s">
        <v>1166</v>
      </c>
      <c r="B573" s="21" t="s">
        <v>1167</v>
      </c>
      <c r="C573" s="22">
        <v>45205.0</v>
      </c>
      <c r="D573" s="22" t="str">
        <f t="shared" si="1"/>
        <v>10.2023</v>
      </c>
      <c r="E573" s="22">
        <v>45217.0</v>
      </c>
      <c r="F573" s="21" t="s">
        <v>38</v>
      </c>
      <c r="G573" s="23">
        <v>2.5</v>
      </c>
      <c r="H573" s="24">
        <v>48.0</v>
      </c>
      <c r="I573" s="24">
        <v>0.0</v>
      </c>
      <c r="J573" s="24">
        <v>37.0</v>
      </c>
      <c r="K573" s="21" t="s">
        <v>15</v>
      </c>
      <c r="L573" s="21" t="s">
        <v>26</v>
      </c>
      <c r="M573" s="24">
        <v>0.0</v>
      </c>
      <c r="X573" s="24"/>
      <c r="Y573" s="21"/>
      <c r="Z573" s="24"/>
    </row>
    <row r="574">
      <c r="A574" s="21" t="s">
        <v>1168</v>
      </c>
      <c r="B574" s="21" t="s">
        <v>1169</v>
      </c>
      <c r="C574" s="22">
        <v>45014.0</v>
      </c>
      <c r="D574" s="22" t="str">
        <f t="shared" si="1"/>
        <v>03.2023</v>
      </c>
      <c r="E574" s="22">
        <v>45026.0</v>
      </c>
      <c r="F574" s="21" t="s">
        <v>22</v>
      </c>
      <c r="G574" s="23">
        <v>2.3</v>
      </c>
      <c r="H574" s="24">
        <v>97.0</v>
      </c>
      <c r="I574" s="24">
        <v>0.0</v>
      </c>
      <c r="J574" s="24">
        <v>34.0</v>
      </c>
      <c r="K574" s="21" t="s">
        <v>19</v>
      </c>
      <c r="L574" s="21" t="s">
        <v>26</v>
      </c>
      <c r="M574" s="24">
        <v>1.0</v>
      </c>
      <c r="X574" s="24"/>
      <c r="Y574" s="21"/>
      <c r="Z574" s="24"/>
    </row>
    <row r="575">
      <c r="A575" s="21" t="s">
        <v>1170</v>
      </c>
      <c r="B575" s="21" t="s">
        <v>1171</v>
      </c>
      <c r="C575" s="22">
        <v>45232.0</v>
      </c>
      <c r="D575" s="22" t="str">
        <f t="shared" si="1"/>
        <v>11.2023</v>
      </c>
      <c r="E575" s="22">
        <v>45244.0</v>
      </c>
      <c r="F575" s="21" t="s">
        <v>14</v>
      </c>
      <c r="G575" s="23">
        <v>4.1</v>
      </c>
      <c r="H575" s="24">
        <v>94.0</v>
      </c>
      <c r="I575" s="24">
        <v>1.0</v>
      </c>
      <c r="J575" s="24">
        <v>22.0</v>
      </c>
      <c r="K575" s="21" t="s">
        <v>19</v>
      </c>
      <c r="L575" s="21" t="s">
        <v>26</v>
      </c>
      <c r="M575" s="24">
        <v>0.0</v>
      </c>
      <c r="X575" s="24"/>
      <c r="Y575" s="21"/>
      <c r="Z575" s="24"/>
    </row>
    <row r="576">
      <c r="A576" s="21" t="s">
        <v>1172</v>
      </c>
      <c r="B576" s="21" t="s">
        <v>1173</v>
      </c>
      <c r="C576" s="22">
        <v>45209.0</v>
      </c>
      <c r="D576" s="22" t="str">
        <f t="shared" si="1"/>
        <v>10.2023</v>
      </c>
      <c r="E576" s="22">
        <v>45221.0</v>
      </c>
      <c r="F576" s="21" t="s">
        <v>29</v>
      </c>
      <c r="G576" s="23">
        <v>2.4</v>
      </c>
      <c r="H576" s="24">
        <v>7.0</v>
      </c>
      <c r="I576" s="24">
        <v>0.0</v>
      </c>
      <c r="J576" s="24">
        <v>41.0</v>
      </c>
      <c r="K576" s="21" t="s">
        <v>23</v>
      </c>
      <c r="L576" s="21" t="s">
        <v>16</v>
      </c>
      <c r="M576" s="24">
        <v>0.0</v>
      </c>
      <c r="X576" s="24"/>
      <c r="Y576" s="21"/>
      <c r="Z576" s="24"/>
    </row>
    <row r="577">
      <c r="A577" s="21" t="s">
        <v>1174</v>
      </c>
      <c r="B577" s="21" t="s">
        <v>1175</v>
      </c>
      <c r="C577" s="22">
        <v>45045.0</v>
      </c>
      <c r="D577" s="22" t="str">
        <f t="shared" si="1"/>
        <v>04.2023</v>
      </c>
      <c r="E577" s="22">
        <v>45057.0</v>
      </c>
      <c r="F577" s="21" t="s">
        <v>29</v>
      </c>
      <c r="G577" s="23">
        <v>2.0</v>
      </c>
      <c r="H577" s="24">
        <v>95.0</v>
      </c>
      <c r="I577" s="24">
        <v>0.0</v>
      </c>
      <c r="J577" s="24">
        <v>54.0</v>
      </c>
      <c r="K577" s="21" t="s">
        <v>35</v>
      </c>
      <c r="L577" s="21" t="s">
        <v>47</v>
      </c>
      <c r="M577" s="24">
        <v>0.0</v>
      </c>
      <c r="X577" s="24"/>
      <c r="Y577" s="21"/>
      <c r="Z577" s="24"/>
    </row>
    <row r="578">
      <c r="A578" s="21" t="s">
        <v>1176</v>
      </c>
      <c r="B578" s="21" t="s">
        <v>1177</v>
      </c>
      <c r="C578" s="22">
        <v>45239.0</v>
      </c>
      <c r="D578" s="22" t="str">
        <f t="shared" si="1"/>
        <v>11.2023</v>
      </c>
      <c r="E578" s="22">
        <v>45251.0</v>
      </c>
      <c r="F578" s="21" t="s">
        <v>38</v>
      </c>
      <c r="G578" s="23">
        <v>4.9</v>
      </c>
      <c r="H578" s="24">
        <v>63.0</v>
      </c>
      <c r="I578" s="24">
        <v>0.0</v>
      </c>
      <c r="J578" s="24">
        <v>46.0</v>
      </c>
      <c r="K578" s="21" t="s">
        <v>35</v>
      </c>
      <c r="L578" s="21" t="s">
        <v>47</v>
      </c>
      <c r="M578" s="24">
        <v>0.0</v>
      </c>
      <c r="X578" s="24"/>
      <c r="Y578" s="21"/>
      <c r="Z578" s="24"/>
    </row>
    <row r="579">
      <c r="A579" s="21" t="s">
        <v>1178</v>
      </c>
      <c r="B579" s="21" t="s">
        <v>1179</v>
      </c>
      <c r="C579" s="22">
        <v>45066.0</v>
      </c>
      <c r="D579" s="22" t="str">
        <f t="shared" si="1"/>
        <v>05.2023</v>
      </c>
      <c r="E579" s="22">
        <v>45078.0</v>
      </c>
      <c r="F579" s="21" t="s">
        <v>38</v>
      </c>
      <c r="G579" s="23">
        <v>3.4</v>
      </c>
      <c r="H579" s="24">
        <v>36.0</v>
      </c>
      <c r="I579" s="24">
        <v>1.0</v>
      </c>
      <c r="J579" s="24">
        <v>35.0</v>
      </c>
      <c r="K579" s="21" t="s">
        <v>35</v>
      </c>
      <c r="L579" s="21" t="s">
        <v>16</v>
      </c>
      <c r="M579" s="24">
        <v>1.0</v>
      </c>
      <c r="X579" s="24"/>
      <c r="Y579" s="21"/>
      <c r="Z579" s="24"/>
    </row>
    <row r="580">
      <c r="A580" s="21" t="s">
        <v>1180</v>
      </c>
      <c r="B580" s="21" t="s">
        <v>1181</v>
      </c>
      <c r="C580" s="22">
        <v>44939.0</v>
      </c>
      <c r="D580" s="22" t="str">
        <f t="shared" si="1"/>
        <v>01.2023</v>
      </c>
      <c r="E580" s="22">
        <v>44951.0</v>
      </c>
      <c r="F580" s="21" t="s">
        <v>38</v>
      </c>
      <c r="G580" s="23">
        <v>1.9</v>
      </c>
      <c r="H580" s="24">
        <v>70.0</v>
      </c>
      <c r="I580" s="24">
        <v>0.0</v>
      </c>
      <c r="J580" s="24">
        <v>38.0</v>
      </c>
      <c r="K580" s="21" t="s">
        <v>35</v>
      </c>
      <c r="L580" s="21" t="s">
        <v>26</v>
      </c>
      <c r="M580" s="24">
        <v>1.0</v>
      </c>
      <c r="X580" s="24"/>
      <c r="Y580" s="21"/>
      <c r="Z580" s="24"/>
    </row>
    <row r="581">
      <c r="A581" s="21" t="s">
        <v>1182</v>
      </c>
      <c r="B581" s="21" t="s">
        <v>1183</v>
      </c>
      <c r="C581" s="22">
        <v>44929.0</v>
      </c>
      <c r="D581" s="22" t="str">
        <f t="shared" si="1"/>
        <v>01.2023</v>
      </c>
      <c r="E581" s="22">
        <v>44941.0</v>
      </c>
      <c r="F581" s="21" t="s">
        <v>38</v>
      </c>
      <c r="G581" s="23">
        <v>0.6</v>
      </c>
      <c r="H581" s="24">
        <v>47.0</v>
      </c>
      <c r="I581" s="24">
        <v>0.0</v>
      </c>
      <c r="J581" s="24">
        <v>36.0</v>
      </c>
      <c r="K581" s="21" t="s">
        <v>19</v>
      </c>
      <c r="L581" s="21" t="s">
        <v>26</v>
      </c>
      <c r="M581" s="24">
        <v>0.0</v>
      </c>
      <c r="X581" s="24"/>
      <c r="Y581" s="21"/>
      <c r="Z581" s="24"/>
    </row>
    <row r="582">
      <c r="A582" s="21" t="s">
        <v>1184</v>
      </c>
      <c r="B582" s="21" t="s">
        <v>1185</v>
      </c>
      <c r="C582" s="22">
        <v>45018.0</v>
      </c>
      <c r="D582" s="22" t="str">
        <f t="shared" si="1"/>
        <v>04.2023</v>
      </c>
      <c r="E582" s="22">
        <v>45030.0</v>
      </c>
      <c r="F582" s="21" t="s">
        <v>22</v>
      </c>
      <c r="G582" s="23">
        <v>2.8</v>
      </c>
      <c r="H582" s="24">
        <v>37.0</v>
      </c>
      <c r="I582" s="24">
        <v>1.0</v>
      </c>
      <c r="J582" s="24">
        <v>14.0</v>
      </c>
      <c r="K582" s="21" t="s">
        <v>15</v>
      </c>
      <c r="L582" s="21" t="s">
        <v>26</v>
      </c>
      <c r="M582" s="24">
        <v>0.0</v>
      </c>
      <c r="X582" s="24"/>
      <c r="Y582" s="21"/>
      <c r="Z582" s="24"/>
    </row>
    <row r="583">
      <c r="A583" s="21" t="s">
        <v>1186</v>
      </c>
      <c r="B583" s="21" t="s">
        <v>1187</v>
      </c>
      <c r="C583" s="22">
        <v>45131.0</v>
      </c>
      <c r="D583" s="22" t="str">
        <f t="shared" si="1"/>
        <v>07.2023</v>
      </c>
      <c r="E583" s="22">
        <v>45143.0</v>
      </c>
      <c r="F583" s="21" t="s">
        <v>14</v>
      </c>
      <c r="G583" s="23">
        <v>0.9</v>
      </c>
      <c r="H583" s="24">
        <v>51.0</v>
      </c>
      <c r="I583" s="24">
        <v>1.0</v>
      </c>
      <c r="J583" s="24">
        <v>12.0</v>
      </c>
      <c r="K583" s="21" t="s">
        <v>35</v>
      </c>
      <c r="L583" s="21" t="s">
        <v>47</v>
      </c>
      <c r="M583" s="24">
        <v>1.0</v>
      </c>
      <c r="X583" s="24"/>
      <c r="Y583" s="21"/>
      <c r="Z583" s="24"/>
    </row>
    <row r="584">
      <c r="A584" s="21" t="s">
        <v>1188</v>
      </c>
      <c r="B584" s="21" t="s">
        <v>1189</v>
      </c>
      <c r="C584" s="22">
        <v>45044.0</v>
      </c>
      <c r="D584" s="22" t="str">
        <f t="shared" si="1"/>
        <v>04.2023</v>
      </c>
      <c r="E584" s="22">
        <v>45056.0</v>
      </c>
      <c r="F584" s="21" t="s">
        <v>14</v>
      </c>
      <c r="G584" s="23">
        <v>0.8</v>
      </c>
      <c r="H584" s="24">
        <v>26.0</v>
      </c>
      <c r="I584" s="24">
        <v>1.0</v>
      </c>
      <c r="J584" s="24">
        <v>16.0</v>
      </c>
      <c r="K584" s="21" t="s">
        <v>15</v>
      </c>
      <c r="L584" s="21" t="s">
        <v>16</v>
      </c>
      <c r="M584" s="24">
        <v>0.0</v>
      </c>
      <c r="X584" s="24"/>
      <c r="Y584" s="21"/>
      <c r="Z584" s="24"/>
    </row>
    <row r="585">
      <c r="A585" s="21" t="s">
        <v>1190</v>
      </c>
      <c r="B585" s="21" t="s">
        <v>1191</v>
      </c>
      <c r="C585" s="22">
        <v>45048.0</v>
      </c>
      <c r="D585" s="22" t="str">
        <f t="shared" si="1"/>
        <v>05.2023</v>
      </c>
      <c r="E585" s="22">
        <v>45060.0</v>
      </c>
      <c r="F585" s="21" t="s">
        <v>29</v>
      </c>
      <c r="G585" s="23">
        <v>3.5</v>
      </c>
      <c r="H585" s="24">
        <v>93.0</v>
      </c>
      <c r="I585" s="24">
        <v>1.0</v>
      </c>
      <c r="J585" s="24">
        <v>18.0</v>
      </c>
      <c r="K585" s="21" t="s">
        <v>15</v>
      </c>
      <c r="L585" s="21" t="s">
        <v>26</v>
      </c>
      <c r="M585" s="24">
        <v>1.0</v>
      </c>
      <c r="X585" s="24"/>
      <c r="Y585" s="21"/>
      <c r="Z585" s="24"/>
    </row>
    <row r="586">
      <c r="A586" s="21" t="s">
        <v>1192</v>
      </c>
      <c r="B586" s="21" t="s">
        <v>1193</v>
      </c>
      <c r="C586" s="22">
        <v>45048.0</v>
      </c>
      <c r="D586" s="22" t="str">
        <f t="shared" si="1"/>
        <v>05.2023</v>
      </c>
      <c r="E586" s="22">
        <v>45060.0</v>
      </c>
      <c r="F586" s="21" t="s">
        <v>14</v>
      </c>
      <c r="G586" s="23">
        <v>0.5</v>
      </c>
      <c r="H586" s="24">
        <v>5.0</v>
      </c>
      <c r="I586" s="24">
        <v>1.0</v>
      </c>
      <c r="J586" s="24">
        <v>55.0</v>
      </c>
      <c r="K586" s="21" t="s">
        <v>19</v>
      </c>
      <c r="L586" s="21" t="s">
        <v>47</v>
      </c>
      <c r="M586" s="24">
        <v>1.0</v>
      </c>
      <c r="X586" s="24"/>
      <c r="Y586" s="21"/>
      <c r="Z586" s="24"/>
    </row>
    <row r="587">
      <c r="A587" s="21" t="s">
        <v>1194</v>
      </c>
      <c r="B587" s="21" t="s">
        <v>1195</v>
      </c>
      <c r="C587" s="22">
        <v>45160.0</v>
      </c>
      <c r="D587" s="22" t="str">
        <f t="shared" si="1"/>
        <v>08.2023</v>
      </c>
      <c r="E587" s="22">
        <v>45172.0</v>
      </c>
      <c r="F587" s="21" t="s">
        <v>22</v>
      </c>
      <c r="G587" s="23">
        <v>3.8</v>
      </c>
      <c r="H587" s="24">
        <v>4.0</v>
      </c>
      <c r="I587" s="24">
        <v>1.0</v>
      </c>
      <c r="J587" s="24">
        <v>38.0</v>
      </c>
      <c r="K587" s="21" t="s">
        <v>15</v>
      </c>
      <c r="L587" s="21" t="s">
        <v>47</v>
      </c>
      <c r="M587" s="24">
        <v>0.0</v>
      </c>
      <c r="X587" s="24"/>
      <c r="Y587" s="21"/>
      <c r="Z587" s="24"/>
    </row>
    <row r="588">
      <c r="A588" s="21" t="s">
        <v>1196</v>
      </c>
      <c r="B588" s="21" t="s">
        <v>1197</v>
      </c>
      <c r="C588" s="22">
        <v>44962.0</v>
      </c>
      <c r="D588" s="22" t="str">
        <f t="shared" si="1"/>
        <v>02.2023</v>
      </c>
      <c r="E588" s="22">
        <v>44974.0</v>
      </c>
      <c r="F588" s="21" t="s">
        <v>14</v>
      </c>
      <c r="G588" s="23">
        <v>4.0</v>
      </c>
      <c r="H588" s="24">
        <v>15.0</v>
      </c>
      <c r="I588" s="24">
        <v>0.0</v>
      </c>
      <c r="J588" s="24">
        <v>44.0</v>
      </c>
      <c r="K588" s="21" t="s">
        <v>19</v>
      </c>
      <c r="L588" s="21" t="s">
        <v>26</v>
      </c>
      <c r="M588" s="24">
        <v>0.0</v>
      </c>
      <c r="X588" s="24"/>
      <c r="Y588" s="21"/>
      <c r="Z588" s="24"/>
    </row>
    <row r="589">
      <c r="A589" s="21" t="s">
        <v>1198</v>
      </c>
      <c r="B589" s="21" t="s">
        <v>1199</v>
      </c>
      <c r="C589" s="22">
        <v>45055.0</v>
      </c>
      <c r="D589" s="22" t="str">
        <f t="shared" si="1"/>
        <v>05.2023</v>
      </c>
      <c r="E589" s="22">
        <v>45067.0</v>
      </c>
      <c r="F589" s="21" t="s">
        <v>38</v>
      </c>
      <c r="G589" s="23">
        <v>0.4</v>
      </c>
      <c r="H589" s="24">
        <v>33.0</v>
      </c>
      <c r="I589" s="24">
        <v>0.0</v>
      </c>
      <c r="J589" s="24">
        <v>18.0</v>
      </c>
      <c r="K589" s="21" t="s">
        <v>32</v>
      </c>
      <c r="L589" s="21" t="s">
        <v>26</v>
      </c>
      <c r="M589" s="24">
        <v>0.0</v>
      </c>
      <c r="X589" s="24"/>
      <c r="Y589" s="21"/>
      <c r="Z589" s="24"/>
    </row>
    <row r="590">
      <c r="A590" s="21" t="s">
        <v>1200</v>
      </c>
      <c r="B590" s="21" t="s">
        <v>1201</v>
      </c>
      <c r="C590" s="22">
        <v>45244.0</v>
      </c>
      <c r="D590" s="22" t="str">
        <f t="shared" si="1"/>
        <v>11.2023</v>
      </c>
      <c r="E590" s="22">
        <v>45256.0</v>
      </c>
      <c r="F590" s="21" t="s">
        <v>29</v>
      </c>
      <c r="G590" s="23">
        <v>3.1</v>
      </c>
      <c r="H590" s="24">
        <v>84.0</v>
      </c>
      <c r="I590" s="24">
        <v>0.0</v>
      </c>
      <c r="J590" s="24">
        <v>36.0</v>
      </c>
      <c r="K590" s="21" t="s">
        <v>19</v>
      </c>
      <c r="L590" s="21" t="s">
        <v>47</v>
      </c>
      <c r="M590" s="24">
        <v>1.0</v>
      </c>
      <c r="X590" s="24"/>
      <c r="Y590" s="21"/>
      <c r="Z590" s="24"/>
    </row>
    <row r="591">
      <c r="A591" s="21" t="s">
        <v>1202</v>
      </c>
      <c r="B591" s="21" t="s">
        <v>1203</v>
      </c>
      <c r="C591" s="22">
        <v>45004.0</v>
      </c>
      <c r="D591" s="22" t="str">
        <f t="shared" si="1"/>
        <v>03.2023</v>
      </c>
      <c r="E591" s="22">
        <v>45016.0</v>
      </c>
      <c r="F591" s="21" t="s">
        <v>14</v>
      </c>
      <c r="G591" s="23">
        <v>0.0</v>
      </c>
      <c r="H591" s="24">
        <v>32.0</v>
      </c>
      <c r="I591" s="24">
        <v>1.0</v>
      </c>
      <c r="J591" s="24">
        <v>26.0</v>
      </c>
      <c r="K591" s="21" t="s">
        <v>35</v>
      </c>
      <c r="L591" s="21" t="s">
        <v>16</v>
      </c>
      <c r="M591" s="24">
        <v>1.0</v>
      </c>
      <c r="X591" s="24"/>
      <c r="Y591" s="21"/>
      <c r="Z591" s="24"/>
    </row>
    <row r="592">
      <c r="A592" s="21" t="s">
        <v>1204</v>
      </c>
      <c r="B592" s="21" t="s">
        <v>1205</v>
      </c>
      <c r="C592" s="22">
        <v>45028.0</v>
      </c>
      <c r="D592" s="22" t="str">
        <f t="shared" si="1"/>
        <v>04.2023</v>
      </c>
      <c r="E592" s="22">
        <v>45040.0</v>
      </c>
      <c r="F592" s="21" t="s">
        <v>14</v>
      </c>
      <c r="G592" s="23">
        <v>4.3</v>
      </c>
      <c r="H592" s="24">
        <v>12.0</v>
      </c>
      <c r="I592" s="24">
        <v>1.0</v>
      </c>
      <c r="J592" s="24">
        <v>55.0</v>
      </c>
      <c r="K592" s="21" t="s">
        <v>35</v>
      </c>
      <c r="L592" s="21" t="s">
        <v>16</v>
      </c>
      <c r="M592" s="24">
        <v>1.0</v>
      </c>
      <c r="X592" s="24"/>
      <c r="Y592" s="21"/>
      <c r="Z592" s="24"/>
    </row>
    <row r="593">
      <c r="A593" s="21" t="s">
        <v>1206</v>
      </c>
      <c r="B593" s="21" t="s">
        <v>1207</v>
      </c>
      <c r="C593" s="22">
        <v>44937.0</v>
      </c>
      <c r="D593" s="22" t="str">
        <f t="shared" si="1"/>
        <v>01.2023</v>
      </c>
      <c r="E593" s="22">
        <v>44949.0</v>
      </c>
      <c r="F593" s="21" t="s">
        <v>29</v>
      </c>
      <c r="G593" s="23">
        <v>1.6</v>
      </c>
      <c r="H593" s="24">
        <v>53.0</v>
      </c>
      <c r="I593" s="24">
        <v>0.0</v>
      </c>
      <c r="J593" s="24">
        <v>31.0</v>
      </c>
      <c r="K593" s="21" t="s">
        <v>23</v>
      </c>
      <c r="L593" s="21" t="s">
        <v>16</v>
      </c>
      <c r="M593" s="24">
        <v>0.0</v>
      </c>
      <c r="X593" s="24"/>
      <c r="Y593" s="21"/>
      <c r="Z593" s="24"/>
    </row>
    <row r="594">
      <c r="A594" s="21" t="s">
        <v>1208</v>
      </c>
      <c r="B594" s="21" t="s">
        <v>1209</v>
      </c>
      <c r="C594" s="22">
        <v>45202.0</v>
      </c>
      <c r="D594" s="22" t="str">
        <f t="shared" si="1"/>
        <v>10.2023</v>
      </c>
      <c r="E594" s="22">
        <v>45214.0</v>
      </c>
      <c r="F594" s="21" t="s">
        <v>14</v>
      </c>
      <c r="G594" s="23">
        <v>5.0</v>
      </c>
      <c r="H594" s="24">
        <v>90.0</v>
      </c>
      <c r="I594" s="24">
        <v>0.0</v>
      </c>
      <c r="J594" s="24">
        <v>45.0</v>
      </c>
      <c r="K594" s="21" t="s">
        <v>15</v>
      </c>
      <c r="L594" s="21" t="s">
        <v>26</v>
      </c>
      <c r="M594" s="24">
        <v>1.0</v>
      </c>
      <c r="X594" s="24"/>
      <c r="Y594" s="21"/>
      <c r="Z594" s="24"/>
    </row>
    <row r="595">
      <c r="A595" s="21" t="s">
        <v>1210</v>
      </c>
      <c r="B595" s="21" t="s">
        <v>1211</v>
      </c>
      <c r="C595" s="22">
        <v>45163.0</v>
      </c>
      <c r="D595" s="22" t="str">
        <f t="shared" si="1"/>
        <v>08.2023</v>
      </c>
      <c r="E595" s="22">
        <v>45175.0</v>
      </c>
      <c r="F595" s="21" t="s">
        <v>29</v>
      </c>
      <c r="G595" s="23">
        <v>1.8</v>
      </c>
      <c r="H595" s="24">
        <v>22.0</v>
      </c>
      <c r="I595" s="24">
        <v>0.0</v>
      </c>
      <c r="J595" s="24">
        <v>52.0</v>
      </c>
      <c r="K595" s="21" t="s">
        <v>23</v>
      </c>
      <c r="L595" s="21" t="s">
        <v>16</v>
      </c>
      <c r="M595" s="24">
        <v>0.0</v>
      </c>
      <c r="X595" s="24"/>
      <c r="Y595" s="21"/>
      <c r="Z595" s="24"/>
    </row>
    <row r="596">
      <c r="A596" s="21" t="s">
        <v>1212</v>
      </c>
      <c r="B596" s="21" t="s">
        <v>1213</v>
      </c>
      <c r="C596" s="22">
        <v>45082.0</v>
      </c>
      <c r="D596" s="22" t="str">
        <f t="shared" si="1"/>
        <v>06.2023</v>
      </c>
      <c r="E596" s="22">
        <v>45094.0</v>
      </c>
      <c r="F596" s="21" t="s">
        <v>38</v>
      </c>
      <c r="G596" s="23">
        <v>0.3</v>
      </c>
      <c r="H596" s="24">
        <v>11.0</v>
      </c>
      <c r="I596" s="24">
        <v>1.0</v>
      </c>
      <c r="J596" s="24">
        <v>34.0</v>
      </c>
      <c r="K596" s="21" t="s">
        <v>19</v>
      </c>
      <c r="L596" s="21" t="s">
        <v>47</v>
      </c>
      <c r="M596" s="24">
        <v>1.0</v>
      </c>
      <c r="X596" s="24"/>
      <c r="Y596" s="21"/>
      <c r="Z596" s="24"/>
    </row>
    <row r="597">
      <c r="A597" s="21" t="s">
        <v>1214</v>
      </c>
      <c r="B597" s="21" t="s">
        <v>1215</v>
      </c>
      <c r="C597" s="22">
        <v>45192.0</v>
      </c>
      <c r="D597" s="22" t="str">
        <f t="shared" si="1"/>
        <v>09.2023</v>
      </c>
      <c r="E597" s="22">
        <v>45204.0</v>
      </c>
      <c r="F597" s="21" t="s">
        <v>29</v>
      </c>
      <c r="G597" s="23">
        <v>0.2</v>
      </c>
      <c r="H597" s="24">
        <v>49.0</v>
      </c>
      <c r="I597" s="24">
        <v>1.0</v>
      </c>
      <c r="J597" s="24">
        <v>33.0</v>
      </c>
      <c r="K597" s="21" t="s">
        <v>19</v>
      </c>
      <c r="L597" s="21" t="s">
        <v>47</v>
      </c>
      <c r="M597" s="24">
        <v>0.0</v>
      </c>
      <c r="X597" s="24"/>
      <c r="Y597" s="21"/>
      <c r="Z597" s="24"/>
    </row>
    <row r="598">
      <c r="A598" s="21" t="s">
        <v>1216</v>
      </c>
      <c r="B598" s="21" t="s">
        <v>1217</v>
      </c>
      <c r="C598" s="22">
        <v>45039.0</v>
      </c>
      <c r="D598" s="22" t="str">
        <f t="shared" si="1"/>
        <v>04.2023</v>
      </c>
      <c r="E598" s="22">
        <v>45051.0</v>
      </c>
      <c r="F598" s="21" t="s">
        <v>22</v>
      </c>
      <c r="G598" s="23">
        <v>4.7</v>
      </c>
      <c r="H598" s="24">
        <v>88.0</v>
      </c>
      <c r="I598" s="24">
        <v>0.0</v>
      </c>
      <c r="J598" s="24">
        <v>29.0</v>
      </c>
      <c r="K598" s="21" t="s">
        <v>15</v>
      </c>
      <c r="L598" s="21" t="s">
        <v>16</v>
      </c>
      <c r="M598" s="24">
        <v>1.0</v>
      </c>
      <c r="X598" s="24"/>
      <c r="Y598" s="21"/>
      <c r="Z598" s="24"/>
    </row>
    <row r="599">
      <c r="A599" s="21" t="s">
        <v>1218</v>
      </c>
      <c r="B599" s="21" t="s">
        <v>1219</v>
      </c>
      <c r="C599" s="22">
        <v>45195.0</v>
      </c>
      <c r="D599" s="22" t="str">
        <f t="shared" si="1"/>
        <v>09.2023</v>
      </c>
      <c r="E599" s="22">
        <v>45207.0</v>
      </c>
      <c r="F599" s="21" t="s">
        <v>38</v>
      </c>
      <c r="G599" s="23">
        <v>4.8</v>
      </c>
      <c r="H599" s="24">
        <v>21.0</v>
      </c>
      <c r="I599" s="24">
        <v>0.0</v>
      </c>
      <c r="J599" s="24">
        <v>32.0</v>
      </c>
      <c r="K599" s="21" t="s">
        <v>15</v>
      </c>
      <c r="L599" s="21" t="s">
        <v>26</v>
      </c>
      <c r="M599" s="24">
        <v>1.0</v>
      </c>
      <c r="X599" s="24"/>
      <c r="Y599" s="21"/>
      <c r="Z599" s="24"/>
    </row>
    <row r="600">
      <c r="A600" s="21" t="s">
        <v>1220</v>
      </c>
      <c r="B600" s="21" t="s">
        <v>1221</v>
      </c>
      <c r="C600" s="22">
        <v>45166.0</v>
      </c>
      <c r="D600" s="22" t="str">
        <f t="shared" si="1"/>
        <v>08.2023</v>
      </c>
      <c r="E600" s="22">
        <v>45178.0</v>
      </c>
      <c r="F600" s="21" t="s">
        <v>22</v>
      </c>
      <c r="G600" s="23">
        <v>2.6</v>
      </c>
      <c r="H600" s="24">
        <v>41.0</v>
      </c>
      <c r="I600" s="24">
        <v>1.0</v>
      </c>
      <c r="J600" s="24">
        <v>41.0</v>
      </c>
      <c r="K600" s="21" t="s">
        <v>15</v>
      </c>
      <c r="L600" s="21" t="s">
        <v>47</v>
      </c>
      <c r="M600" s="24">
        <v>1.0</v>
      </c>
      <c r="X600" s="24"/>
      <c r="Y600" s="21"/>
      <c r="Z600" s="24"/>
    </row>
    <row r="601">
      <c r="A601" s="21" t="s">
        <v>1222</v>
      </c>
      <c r="B601" s="21" t="s">
        <v>1223</v>
      </c>
      <c r="C601" s="22">
        <v>45157.0</v>
      </c>
      <c r="D601" s="22" t="str">
        <f t="shared" si="1"/>
        <v>08.2023</v>
      </c>
      <c r="E601" s="22">
        <v>45169.0</v>
      </c>
      <c r="F601" s="21" t="s">
        <v>14</v>
      </c>
      <c r="G601" s="23">
        <v>1.7</v>
      </c>
      <c r="H601" s="24">
        <v>0.0</v>
      </c>
      <c r="I601" s="24">
        <v>0.0</v>
      </c>
      <c r="J601" s="24">
        <v>48.0</v>
      </c>
      <c r="K601" s="21" t="s">
        <v>19</v>
      </c>
      <c r="L601" s="21" t="s">
        <v>26</v>
      </c>
      <c r="M601" s="24">
        <v>1.0</v>
      </c>
      <c r="X601" s="24"/>
      <c r="Y601" s="21"/>
      <c r="Z601" s="24"/>
    </row>
    <row r="602">
      <c r="H602" s="28"/>
    </row>
    <row r="603">
      <c r="H603" s="28"/>
    </row>
    <row r="604">
      <c r="H604" s="28"/>
    </row>
    <row r="605">
      <c r="H605" s="28"/>
    </row>
    <row r="606">
      <c r="H606" s="28"/>
    </row>
    <row r="607">
      <c r="H607" s="28"/>
    </row>
    <row r="608">
      <c r="H608" s="28"/>
    </row>
    <row r="609">
      <c r="H609" s="28"/>
    </row>
    <row r="610">
      <c r="H610" s="28"/>
    </row>
    <row r="611">
      <c r="H611" s="28"/>
    </row>
    <row r="612">
      <c r="H612" s="28"/>
    </row>
    <row r="613">
      <c r="H613" s="28"/>
    </row>
    <row r="614">
      <c r="H614" s="28"/>
    </row>
    <row r="615">
      <c r="H615" s="28"/>
    </row>
    <row r="616">
      <c r="H616" s="28"/>
    </row>
    <row r="617">
      <c r="H617" s="28"/>
    </row>
    <row r="618">
      <c r="H618" s="28"/>
    </row>
    <row r="619">
      <c r="H619" s="28"/>
    </row>
    <row r="620">
      <c r="H620" s="28"/>
    </row>
    <row r="621">
      <c r="H621" s="28"/>
    </row>
    <row r="622">
      <c r="H622" s="28"/>
    </row>
    <row r="623">
      <c r="H623" s="28"/>
    </row>
    <row r="624">
      <c r="H624" s="28"/>
    </row>
    <row r="625">
      <c r="H625" s="28"/>
    </row>
    <row r="626">
      <c r="H626" s="28"/>
    </row>
    <row r="627">
      <c r="H627" s="28"/>
    </row>
    <row r="628">
      <c r="H628" s="28"/>
    </row>
    <row r="629">
      <c r="H629" s="28"/>
    </row>
    <row r="630">
      <c r="H630" s="28"/>
    </row>
    <row r="631">
      <c r="H631" s="28"/>
    </row>
    <row r="632">
      <c r="H632" s="28"/>
    </row>
    <row r="633">
      <c r="H633" s="28"/>
    </row>
    <row r="634">
      <c r="H634" s="28"/>
    </row>
    <row r="635">
      <c r="H635" s="28"/>
    </row>
    <row r="636">
      <c r="H636" s="28"/>
    </row>
    <row r="637">
      <c r="H637" s="28"/>
    </row>
    <row r="638">
      <c r="H638" s="28"/>
    </row>
    <row r="639">
      <c r="H639" s="28"/>
    </row>
    <row r="640">
      <c r="H640" s="28"/>
    </row>
    <row r="641">
      <c r="H641" s="28"/>
    </row>
    <row r="642">
      <c r="H642" s="28"/>
    </row>
    <row r="643">
      <c r="H643" s="28"/>
    </row>
    <row r="644">
      <c r="H644" s="28"/>
    </row>
    <row r="645">
      <c r="H645" s="28"/>
    </row>
    <row r="646">
      <c r="H646" s="28"/>
    </row>
    <row r="647">
      <c r="H647" s="28"/>
    </row>
    <row r="648">
      <c r="H648" s="28"/>
    </row>
    <row r="649">
      <c r="H649" s="28"/>
    </row>
    <row r="650">
      <c r="H650" s="28"/>
    </row>
    <row r="651">
      <c r="H651" s="28"/>
    </row>
    <row r="652">
      <c r="H652" s="28"/>
    </row>
    <row r="653">
      <c r="H653" s="28"/>
    </row>
    <row r="654">
      <c r="H654" s="28"/>
    </row>
    <row r="655">
      <c r="H655" s="28"/>
    </row>
    <row r="656">
      <c r="H656" s="28"/>
    </row>
    <row r="657">
      <c r="H657" s="28"/>
    </row>
    <row r="658">
      <c r="H658" s="28"/>
    </row>
    <row r="659">
      <c r="H659" s="28"/>
    </row>
    <row r="660">
      <c r="H660" s="28"/>
    </row>
    <row r="661">
      <c r="H661" s="28"/>
    </row>
    <row r="662">
      <c r="H662" s="28"/>
    </row>
    <row r="663">
      <c r="H663" s="28"/>
    </row>
    <row r="664">
      <c r="H664" s="28"/>
    </row>
    <row r="665">
      <c r="H665" s="28"/>
    </row>
    <row r="666">
      <c r="H666" s="28"/>
    </row>
    <row r="667">
      <c r="H667" s="28"/>
    </row>
    <row r="668">
      <c r="H668" s="28"/>
    </row>
    <row r="669">
      <c r="H669" s="28"/>
    </row>
    <row r="670">
      <c r="H670" s="28"/>
    </row>
    <row r="671">
      <c r="H671" s="28"/>
    </row>
    <row r="672">
      <c r="H672" s="28"/>
    </row>
    <row r="673">
      <c r="H673" s="28"/>
    </row>
    <row r="674">
      <c r="H674" s="28"/>
    </row>
    <row r="675">
      <c r="H675" s="28"/>
    </row>
    <row r="676">
      <c r="H676" s="28"/>
    </row>
    <row r="677">
      <c r="H677" s="28"/>
    </row>
    <row r="678">
      <c r="H678" s="28"/>
    </row>
    <row r="679">
      <c r="H679" s="28"/>
    </row>
    <row r="680">
      <c r="H680" s="28"/>
    </row>
    <row r="681">
      <c r="H681" s="28"/>
    </row>
    <row r="682">
      <c r="H682" s="28"/>
    </row>
    <row r="683">
      <c r="H683" s="28"/>
    </row>
    <row r="684">
      <c r="H684" s="28"/>
    </row>
    <row r="685">
      <c r="H685" s="28"/>
    </row>
    <row r="686">
      <c r="H686" s="28"/>
    </row>
    <row r="687">
      <c r="H687" s="28"/>
    </row>
    <row r="688">
      <c r="H688" s="28"/>
    </row>
    <row r="689">
      <c r="H689" s="28"/>
    </row>
    <row r="690">
      <c r="H690" s="28"/>
    </row>
    <row r="691">
      <c r="H691" s="28"/>
    </row>
    <row r="692">
      <c r="H692" s="28"/>
    </row>
    <row r="693">
      <c r="H693" s="28"/>
    </row>
    <row r="694">
      <c r="H694" s="28"/>
    </row>
    <row r="695">
      <c r="H695" s="28"/>
    </row>
    <row r="696">
      <c r="H696" s="28"/>
    </row>
    <row r="697">
      <c r="H697" s="28"/>
    </row>
    <row r="698">
      <c r="H698" s="28"/>
    </row>
    <row r="699">
      <c r="H699" s="28"/>
    </row>
    <row r="700">
      <c r="H700" s="28"/>
    </row>
    <row r="701">
      <c r="H701" s="28"/>
    </row>
    <row r="702">
      <c r="H702" s="28"/>
    </row>
    <row r="703">
      <c r="H703" s="28"/>
    </row>
    <row r="704">
      <c r="H704" s="28"/>
    </row>
    <row r="705">
      <c r="H705" s="28"/>
    </row>
    <row r="706">
      <c r="H706" s="28"/>
    </row>
    <row r="707">
      <c r="H707" s="28"/>
    </row>
    <row r="708">
      <c r="H708" s="28"/>
    </row>
    <row r="709">
      <c r="H709" s="28"/>
    </row>
    <row r="710">
      <c r="H710" s="28"/>
    </row>
    <row r="711">
      <c r="H711" s="28"/>
    </row>
    <row r="712">
      <c r="H712" s="28"/>
    </row>
    <row r="713">
      <c r="H713" s="28"/>
    </row>
    <row r="714">
      <c r="H714" s="28"/>
    </row>
    <row r="715">
      <c r="H715" s="28"/>
    </row>
    <row r="716">
      <c r="H716" s="28"/>
    </row>
    <row r="717">
      <c r="H717" s="28"/>
    </row>
    <row r="718">
      <c r="H718" s="28"/>
    </row>
    <row r="719">
      <c r="H719" s="28"/>
    </row>
    <row r="720">
      <c r="H720" s="28"/>
    </row>
    <row r="721">
      <c r="H721" s="28"/>
    </row>
    <row r="722">
      <c r="H722" s="28"/>
    </row>
    <row r="723">
      <c r="H723" s="28"/>
    </row>
    <row r="724">
      <c r="H724" s="28"/>
    </row>
    <row r="725">
      <c r="H725" s="28"/>
    </row>
    <row r="726">
      <c r="H726" s="28"/>
    </row>
    <row r="727">
      <c r="H727" s="28"/>
    </row>
    <row r="728">
      <c r="H728" s="28"/>
    </row>
    <row r="729">
      <c r="H729" s="28"/>
    </row>
    <row r="730">
      <c r="H730" s="28"/>
    </row>
    <row r="731">
      <c r="H731" s="28"/>
    </row>
    <row r="732">
      <c r="H732" s="28"/>
    </row>
    <row r="733">
      <c r="H733" s="28"/>
    </row>
    <row r="734">
      <c r="H734" s="28"/>
    </row>
    <row r="735">
      <c r="H735" s="28"/>
    </row>
    <row r="736">
      <c r="H736" s="28"/>
    </row>
    <row r="737">
      <c r="H737" s="28"/>
    </row>
    <row r="738">
      <c r="H738" s="28"/>
    </row>
    <row r="739">
      <c r="H739" s="28"/>
    </row>
    <row r="740">
      <c r="H740" s="28"/>
    </row>
    <row r="741">
      <c r="H741" s="28"/>
    </row>
    <row r="742">
      <c r="H742" s="28"/>
    </row>
    <row r="743">
      <c r="H743" s="28"/>
    </row>
    <row r="744">
      <c r="H744" s="28"/>
    </row>
    <row r="745">
      <c r="H745" s="28"/>
    </row>
    <row r="746">
      <c r="H746" s="28"/>
    </row>
    <row r="747">
      <c r="H747" s="28"/>
    </row>
    <row r="748">
      <c r="H748" s="28"/>
    </row>
    <row r="749">
      <c r="H749" s="28"/>
    </row>
    <row r="750">
      <c r="H750" s="28"/>
    </row>
    <row r="751">
      <c r="H751" s="28"/>
    </row>
    <row r="752">
      <c r="H752" s="28"/>
    </row>
    <row r="753">
      <c r="H753" s="28"/>
    </row>
    <row r="754">
      <c r="H754" s="28"/>
    </row>
    <row r="755">
      <c r="H755" s="28"/>
    </row>
    <row r="756">
      <c r="H756" s="28"/>
    </row>
    <row r="757">
      <c r="H757" s="28"/>
    </row>
    <row r="758">
      <c r="H758" s="28"/>
    </row>
    <row r="759">
      <c r="H759" s="28"/>
    </row>
    <row r="760">
      <c r="H760" s="28"/>
    </row>
    <row r="761">
      <c r="H761" s="28"/>
    </row>
    <row r="762">
      <c r="H762" s="28"/>
    </row>
    <row r="763">
      <c r="H763" s="28"/>
    </row>
    <row r="764">
      <c r="H764" s="28"/>
    </row>
    <row r="765">
      <c r="H765" s="28"/>
    </row>
    <row r="766">
      <c r="H766" s="28"/>
    </row>
    <row r="767">
      <c r="H767" s="28"/>
    </row>
    <row r="768">
      <c r="H768" s="28"/>
    </row>
    <row r="769">
      <c r="H769" s="28"/>
    </row>
    <row r="770">
      <c r="H770" s="28"/>
    </row>
    <row r="771">
      <c r="H771" s="28"/>
    </row>
    <row r="772">
      <c r="H772" s="28"/>
    </row>
    <row r="773">
      <c r="H773" s="28"/>
    </row>
    <row r="774">
      <c r="H774" s="28"/>
    </row>
    <row r="775">
      <c r="H775" s="28"/>
    </row>
    <row r="776">
      <c r="H776" s="28"/>
    </row>
    <row r="777">
      <c r="H777" s="28"/>
    </row>
    <row r="778">
      <c r="H778" s="28"/>
    </row>
    <row r="779">
      <c r="H779" s="28"/>
    </row>
    <row r="780">
      <c r="H780" s="28"/>
    </row>
    <row r="781">
      <c r="H781" s="28"/>
    </row>
    <row r="782">
      <c r="H782" s="28"/>
    </row>
    <row r="783">
      <c r="H783" s="28"/>
    </row>
    <row r="784">
      <c r="H784" s="28"/>
    </row>
    <row r="785">
      <c r="H785" s="28"/>
    </row>
    <row r="786">
      <c r="H786" s="28"/>
    </row>
    <row r="787">
      <c r="H787" s="28"/>
    </row>
    <row r="788">
      <c r="H788" s="28"/>
    </row>
    <row r="789">
      <c r="H789" s="28"/>
    </row>
    <row r="790">
      <c r="H790" s="28"/>
    </row>
    <row r="791">
      <c r="H791" s="28"/>
    </row>
    <row r="792">
      <c r="H792" s="28"/>
    </row>
    <row r="793">
      <c r="H793" s="28"/>
    </row>
    <row r="794">
      <c r="H794" s="28"/>
    </row>
    <row r="795">
      <c r="H795" s="28"/>
    </row>
    <row r="796">
      <c r="H796" s="28"/>
    </row>
    <row r="797">
      <c r="H797" s="28"/>
    </row>
    <row r="798">
      <c r="H798" s="28"/>
    </row>
    <row r="799">
      <c r="H799" s="28"/>
    </row>
    <row r="800">
      <c r="H800" s="28"/>
    </row>
    <row r="801">
      <c r="H801" s="28"/>
    </row>
    <row r="802">
      <c r="H802" s="28"/>
    </row>
    <row r="803">
      <c r="H803" s="28"/>
    </row>
    <row r="804">
      <c r="H804" s="28"/>
    </row>
    <row r="805">
      <c r="H805" s="28"/>
    </row>
    <row r="806">
      <c r="H806" s="28"/>
    </row>
    <row r="807">
      <c r="H807" s="28"/>
    </row>
    <row r="808">
      <c r="H808" s="28"/>
    </row>
    <row r="809">
      <c r="H809" s="28"/>
    </row>
    <row r="810">
      <c r="H810" s="28"/>
    </row>
    <row r="811">
      <c r="H811" s="28"/>
    </row>
    <row r="812">
      <c r="H812" s="28"/>
    </row>
    <row r="813">
      <c r="H813" s="28"/>
    </row>
    <row r="814">
      <c r="H814" s="28"/>
    </row>
    <row r="815">
      <c r="H815" s="28"/>
    </row>
    <row r="816">
      <c r="H816" s="28"/>
    </row>
    <row r="817">
      <c r="H817" s="28"/>
    </row>
    <row r="818">
      <c r="H818" s="28"/>
    </row>
    <row r="819">
      <c r="H819" s="28"/>
    </row>
    <row r="820">
      <c r="H820" s="28"/>
    </row>
    <row r="821">
      <c r="H821" s="28"/>
    </row>
    <row r="822">
      <c r="H822" s="28"/>
    </row>
    <row r="823">
      <c r="H823" s="28"/>
    </row>
    <row r="824">
      <c r="H824" s="28"/>
    </row>
    <row r="825">
      <c r="H825" s="28"/>
    </row>
    <row r="826">
      <c r="H826" s="28"/>
    </row>
    <row r="827">
      <c r="H827" s="28"/>
    </row>
    <row r="828">
      <c r="H828" s="28"/>
    </row>
    <row r="829">
      <c r="H829" s="28"/>
    </row>
    <row r="830">
      <c r="H830" s="28"/>
    </row>
    <row r="831">
      <c r="H831" s="28"/>
    </row>
    <row r="832">
      <c r="H832" s="28"/>
    </row>
    <row r="833">
      <c r="H833" s="28"/>
    </row>
    <row r="834">
      <c r="H834" s="28"/>
    </row>
    <row r="835">
      <c r="H835" s="28"/>
    </row>
    <row r="836">
      <c r="H836" s="28"/>
    </row>
    <row r="837">
      <c r="H837" s="28"/>
    </row>
    <row r="838">
      <c r="H838" s="28"/>
    </row>
    <row r="839">
      <c r="H839" s="28"/>
    </row>
    <row r="840">
      <c r="H840" s="28"/>
    </row>
    <row r="841">
      <c r="H841" s="28"/>
    </row>
    <row r="842">
      <c r="H842" s="28"/>
    </row>
    <row r="843">
      <c r="H843" s="28"/>
    </row>
    <row r="844">
      <c r="H844" s="28"/>
    </row>
    <row r="845">
      <c r="H845" s="28"/>
    </row>
    <row r="846">
      <c r="H846" s="28"/>
    </row>
    <row r="847">
      <c r="H847" s="28"/>
    </row>
    <row r="848">
      <c r="H848" s="28"/>
    </row>
    <row r="849">
      <c r="H849" s="28"/>
    </row>
    <row r="850">
      <c r="H850" s="28"/>
    </row>
    <row r="851">
      <c r="H851" s="28"/>
    </row>
    <row r="852">
      <c r="H852" s="28"/>
    </row>
    <row r="853">
      <c r="H853" s="28"/>
    </row>
    <row r="854">
      <c r="H854" s="28"/>
    </row>
    <row r="855">
      <c r="H855" s="28"/>
    </row>
    <row r="856">
      <c r="H856" s="28"/>
    </row>
    <row r="857">
      <c r="H857" s="28"/>
    </row>
    <row r="858">
      <c r="H858" s="28"/>
    </row>
    <row r="859">
      <c r="H859" s="28"/>
    </row>
    <row r="860">
      <c r="H860" s="28"/>
    </row>
    <row r="861">
      <c r="H861" s="28"/>
    </row>
    <row r="862">
      <c r="H862" s="28"/>
    </row>
    <row r="863">
      <c r="H863" s="28"/>
    </row>
    <row r="864">
      <c r="H864" s="28"/>
    </row>
    <row r="865">
      <c r="H865" s="28"/>
    </row>
    <row r="866">
      <c r="H866" s="28"/>
    </row>
    <row r="867">
      <c r="H867" s="28"/>
    </row>
    <row r="868">
      <c r="H868" s="28"/>
    </row>
    <row r="869">
      <c r="H869" s="28"/>
    </row>
    <row r="870">
      <c r="H870" s="28"/>
    </row>
    <row r="871">
      <c r="H871" s="28"/>
    </row>
    <row r="872">
      <c r="H872" s="28"/>
    </row>
    <row r="873">
      <c r="H873" s="28"/>
    </row>
    <row r="874">
      <c r="H874" s="28"/>
    </row>
    <row r="875">
      <c r="H875" s="28"/>
    </row>
    <row r="876">
      <c r="H876" s="28"/>
    </row>
    <row r="877">
      <c r="H877" s="28"/>
    </row>
    <row r="878">
      <c r="H878" s="28"/>
    </row>
    <row r="879">
      <c r="H879" s="28"/>
    </row>
    <row r="880">
      <c r="H880" s="28"/>
    </row>
    <row r="881">
      <c r="H881" s="28"/>
    </row>
    <row r="882">
      <c r="H882" s="28"/>
    </row>
    <row r="883">
      <c r="H883" s="28"/>
    </row>
    <row r="884">
      <c r="H884" s="28"/>
    </row>
    <row r="885">
      <c r="H885" s="28"/>
    </row>
    <row r="886">
      <c r="H886" s="28"/>
    </row>
    <row r="887">
      <c r="H887" s="28"/>
    </row>
    <row r="888">
      <c r="H888" s="28"/>
    </row>
    <row r="889">
      <c r="H889" s="28"/>
    </row>
    <row r="890">
      <c r="H890" s="28"/>
    </row>
    <row r="891">
      <c r="H891" s="28"/>
    </row>
    <row r="892">
      <c r="H892" s="28"/>
    </row>
    <row r="893">
      <c r="H893" s="28"/>
    </row>
    <row r="894">
      <c r="H894" s="28"/>
    </row>
    <row r="895">
      <c r="H895" s="28"/>
    </row>
    <row r="896">
      <c r="H896" s="28"/>
    </row>
    <row r="897">
      <c r="H897" s="28"/>
    </row>
    <row r="898">
      <c r="H898" s="28"/>
    </row>
    <row r="899">
      <c r="H899" s="28"/>
    </row>
    <row r="900">
      <c r="H900" s="28"/>
    </row>
    <row r="901">
      <c r="H901" s="28"/>
    </row>
    <row r="902">
      <c r="H902" s="28"/>
    </row>
    <row r="903">
      <c r="H903" s="28"/>
    </row>
    <row r="904">
      <c r="H904" s="28"/>
    </row>
    <row r="905">
      <c r="H905" s="28"/>
    </row>
    <row r="906">
      <c r="H906" s="28"/>
    </row>
    <row r="907">
      <c r="H907" s="28"/>
    </row>
    <row r="908">
      <c r="H908" s="28"/>
    </row>
    <row r="909">
      <c r="H909" s="28"/>
    </row>
    <row r="910">
      <c r="H910" s="28"/>
    </row>
    <row r="911">
      <c r="H911" s="28"/>
    </row>
    <row r="912">
      <c r="H912" s="28"/>
    </row>
    <row r="913">
      <c r="H913" s="28"/>
    </row>
    <row r="914">
      <c r="H914" s="28"/>
    </row>
    <row r="915">
      <c r="H915" s="28"/>
    </row>
    <row r="916">
      <c r="H916" s="28"/>
    </row>
    <row r="917">
      <c r="H917" s="28"/>
    </row>
    <row r="918">
      <c r="H918" s="28"/>
    </row>
    <row r="919">
      <c r="H919" s="28"/>
    </row>
    <row r="920">
      <c r="H920" s="28"/>
    </row>
    <row r="921">
      <c r="H921" s="28"/>
    </row>
    <row r="922">
      <c r="H922" s="28"/>
    </row>
    <row r="923">
      <c r="H923" s="28"/>
    </row>
    <row r="924">
      <c r="H924" s="28"/>
    </row>
    <row r="925">
      <c r="H925" s="28"/>
    </row>
    <row r="926">
      <c r="H926" s="28"/>
    </row>
    <row r="927">
      <c r="H927" s="28"/>
    </row>
    <row r="928">
      <c r="H928" s="28"/>
    </row>
    <row r="929">
      <c r="H929" s="28"/>
    </row>
    <row r="930">
      <c r="H930" s="28"/>
    </row>
    <row r="931">
      <c r="H931" s="28"/>
    </row>
    <row r="932">
      <c r="H932" s="28"/>
    </row>
    <row r="933">
      <c r="H933" s="28"/>
    </row>
    <row r="934">
      <c r="H934" s="28"/>
    </row>
    <row r="935">
      <c r="H935" s="28"/>
    </row>
    <row r="936">
      <c r="H936" s="28"/>
    </row>
    <row r="937">
      <c r="H937" s="28"/>
    </row>
    <row r="938">
      <c r="H938" s="28"/>
    </row>
    <row r="939">
      <c r="H939" s="28"/>
    </row>
    <row r="940">
      <c r="H940" s="28"/>
    </row>
    <row r="941">
      <c r="H941" s="28"/>
    </row>
    <row r="942">
      <c r="H942" s="28"/>
    </row>
    <row r="943">
      <c r="H943" s="28"/>
    </row>
    <row r="944">
      <c r="H944" s="28"/>
    </row>
    <row r="945">
      <c r="H945" s="28"/>
    </row>
    <row r="946">
      <c r="H946" s="28"/>
    </row>
    <row r="947">
      <c r="H947" s="28"/>
    </row>
    <row r="948">
      <c r="H948" s="28"/>
    </row>
    <row r="949">
      <c r="H949" s="28"/>
    </row>
    <row r="950">
      <c r="H950" s="28"/>
    </row>
    <row r="951">
      <c r="H951" s="28"/>
    </row>
    <row r="952">
      <c r="H952" s="28"/>
    </row>
    <row r="953">
      <c r="H953" s="28"/>
    </row>
    <row r="954">
      <c r="H954" s="28"/>
    </row>
    <row r="955">
      <c r="H955" s="28"/>
    </row>
    <row r="956">
      <c r="H956" s="28"/>
    </row>
    <row r="957">
      <c r="H957" s="28"/>
    </row>
    <row r="958">
      <c r="H958" s="28"/>
    </row>
    <row r="959">
      <c r="H959" s="28"/>
    </row>
    <row r="960">
      <c r="H960" s="28"/>
    </row>
    <row r="961">
      <c r="H961" s="28"/>
    </row>
    <row r="962">
      <c r="H962" s="28"/>
    </row>
    <row r="963">
      <c r="H963" s="28"/>
    </row>
    <row r="964">
      <c r="H964" s="28"/>
    </row>
    <row r="965">
      <c r="H965" s="28"/>
    </row>
    <row r="966">
      <c r="H966" s="28"/>
    </row>
    <row r="967">
      <c r="H967" s="28"/>
    </row>
    <row r="968">
      <c r="H968" s="28"/>
    </row>
    <row r="969">
      <c r="H969" s="28"/>
    </row>
    <row r="970">
      <c r="H970" s="28"/>
    </row>
    <row r="971">
      <c r="H971" s="28"/>
    </row>
    <row r="972">
      <c r="H972" s="28"/>
    </row>
    <row r="973">
      <c r="H973" s="28"/>
    </row>
    <row r="974">
      <c r="H974" s="28"/>
    </row>
    <row r="975">
      <c r="H975" s="28"/>
    </row>
    <row r="976">
      <c r="H976" s="28"/>
    </row>
    <row r="977">
      <c r="H977" s="28"/>
    </row>
    <row r="978">
      <c r="H978" s="28"/>
    </row>
    <row r="979">
      <c r="H979" s="28"/>
    </row>
    <row r="980">
      <c r="H980" s="28"/>
    </row>
    <row r="981">
      <c r="H981" s="28"/>
    </row>
    <row r="982">
      <c r="H982" s="28"/>
    </row>
    <row r="983">
      <c r="H983" s="28"/>
    </row>
    <row r="984">
      <c r="H984" s="28"/>
    </row>
    <row r="985">
      <c r="H985" s="28"/>
    </row>
    <row r="986">
      <c r="H986" s="28"/>
    </row>
    <row r="987">
      <c r="H987" s="28"/>
    </row>
    <row r="988">
      <c r="H988" s="28"/>
    </row>
    <row r="989">
      <c r="H989" s="28"/>
    </row>
    <row r="990">
      <c r="H990" s="28"/>
    </row>
    <row r="991">
      <c r="H991" s="28"/>
    </row>
    <row r="992">
      <c r="H992" s="28"/>
    </row>
    <row r="993">
      <c r="H993" s="28"/>
    </row>
    <row r="994">
      <c r="H994" s="28"/>
    </row>
    <row r="995">
      <c r="H995" s="28"/>
    </row>
    <row r="996">
      <c r="H996" s="28"/>
    </row>
    <row r="997">
      <c r="H997" s="28"/>
    </row>
    <row r="998">
      <c r="H998" s="28"/>
    </row>
    <row r="999">
      <c r="H999" s="28"/>
    </row>
    <row r="1000">
      <c r="H1000" s="28"/>
    </row>
  </sheetData>
  <autoFilter ref="$A$1:$M$601"/>
  <mergeCells count="25">
    <mergeCell ref="BF1:BJ1"/>
    <mergeCell ref="BF19:BJ21"/>
    <mergeCell ref="Q1:T1"/>
    <mergeCell ref="AC1:AG1"/>
    <mergeCell ref="AJ1:AL1"/>
    <mergeCell ref="AR1:AV1"/>
    <mergeCell ref="AH3:AH9"/>
    <mergeCell ref="AR10:AW17"/>
    <mergeCell ref="AJ15:AM15"/>
    <mergeCell ref="Q29:T29"/>
    <mergeCell ref="Q30:T31"/>
    <mergeCell ref="Q35:T37"/>
    <mergeCell ref="AH19:AH25"/>
    <mergeCell ref="AH32:AH39"/>
    <mergeCell ref="AH45:AH51"/>
    <mergeCell ref="AH59:AH66"/>
    <mergeCell ref="AH71:AJ76"/>
    <mergeCell ref="AH81:AH90"/>
    <mergeCell ref="AJ10:AL10"/>
    <mergeCell ref="AJ11:AL12"/>
    <mergeCell ref="P24:Q27"/>
    <mergeCell ref="S24:U27"/>
    <mergeCell ref="AJ25:AL25"/>
    <mergeCell ref="AJ26:AL34"/>
    <mergeCell ref="Q32:T34"/>
  </mergeCell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25"/>
    <col customWidth="1" min="2" max="2" width="74.5"/>
    <col customWidth="1" min="3" max="3" width="36.5"/>
    <col customWidth="1" min="5" max="5" width="11.75"/>
  </cols>
  <sheetData>
    <row r="1" ht="24.75" customHeight="1">
      <c r="A1" s="89" t="s">
        <v>1288</v>
      </c>
      <c r="B1" s="90" t="s">
        <v>1289</v>
      </c>
      <c r="C1" s="91" t="s">
        <v>1290</v>
      </c>
    </row>
    <row r="2" ht="289.5" customHeight="1">
      <c r="A2" s="92"/>
      <c r="B2" s="93" t="s">
        <v>1291</v>
      </c>
      <c r="C2" s="93" t="s">
        <v>1292</v>
      </c>
    </row>
    <row r="3">
      <c r="B3" s="94"/>
      <c r="C3" s="94"/>
    </row>
    <row r="4" ht="249.0" customHeight="1">
      <c r="A4" s="95"/>
      <c r="B4" s="93" t="s">
        <v>1293</v>
      </c>
      <c r="C4" s="93" t="s">
        <v>1294</v>
      </c>
    </row>
    <row r="5">
      <c r="B5" s="94"/>
      <c r="C5" s="94"/>
    </row>
    <row r="6" ht="240.75" customHeight="1">
      <c r="A6" s="37"/>
      <c r="B6" s="93" t="s">
        <v>1295</v>
      </c>
      <c r="C6" s="93" t="s">
        <v>1296</v>
      </c>
    </row>
    <row r="7">
      <c r="B7" s="94"/>
      <c r="C7" s="94"/>
    </row>
    <row r="8" ht="336.75" customHeight="1">
      <c r="A8" s="2"/>
      <c r="B8" s="93" t="s">
        <v>1297</v>
      </c>
      <c r="C8" s="96" t="s">
        <v>1298</v>
      </c>
    </row>
    <row r="9">
      <c r="B9" s="94"/>
      <c r="C9" s="94"/>
    </row>
    <row r="10" ht="191.25" customHeight="1">
      <c r="A10" s="37"/>
      <c r="B10" s="93" t="s">
        <v>1299</v>
      </c>
      <c r="C10" s="93" t="s">
        <v>1300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7.13"/>
    <col customWidth="1" min="3" max="3" width="18.0"/>
    <col customWidth="1" min="4" max="4" width="20.88"/>
    <col customWidth="1" min="6" max="6" width="17.88"/>
    <col customWidth="1" min="8" max="8" width="20.0"/>
    <col customWidth="1" min="10" max="10" width="22.13"/>
  </cols>
  <sheetData>
    <row r="1">
      <c r="A1" s="11"/>
      <c r="B1" s="11"/>
      <c r="C1" s="97" t="s">
        <v>1301</v>
      </c>
      <c r="J1" s="11"/>
      <c r="K1" s="11"/>
    </row>
    <row r="2">
      <c r="A2" s="11"/>
      <c r="B2" s="11"/>
      <c r="C2" s="11"/>
      <c r="D2" s="11"/>
      <c r="E2" s="11"/>
      <c r="F2" s="11"/>
      <c r="G2" s="11"/>
      <c r="H2" s="11"/>
      <c r="I2" s="11"/>
      <c r="J2" s="11"/>
      <c r="K2" s="11"/>
    </row>
    <row r="3">
      <c r="A3" s="11"/>
      <c r="B3" s="11"/>
      <c r="C3" s="11"/>
      <c r="D3" s="11"/>
      <c r="E3" s="11"/>
      <c r="F3" s="11"/>
      <c r="G3" s="11"/>
      <c r="H3" s="11"/>
      <c r="I3" s="11"/>
      <c r="J3" s="11"/>
      <c r="K3" s="11"/>
    </row>
    <row r="4">
      <c r="A4" s="11"/>
      <c r="B4" s="98" t="s">
        <v>1302</v>
      </c>
      <c r="C4" s="99"/>
      <c r="D4" s="100" t="s">
        <v>1303</v>
      </c>
      <c r="E4" s="99"/>
      <c r="F4" s="100" t="s">
        <v>1304</v>
      </c>
      <c r="G4" s="99"/>
      <c r="H4" s="100" t="s">
        <v>1305</v>
      </c>
      <c r="I4" s="99"/>
      <c r="J4" s="100" t="s">
        <v>1306</v>
      </c>
      <c r="K4" s="11"/>
    </row>
    <row r="5">
      <c r="A5" s="11"/>
      <c r="B5" s="101">
        <v>4.0</v>
      </c>
      <c r="C5" s="102"/>
      <c r="D5" s="101">
        <v>600.0</v>
      </c>
      <c r="E5" s="102"/>
      <c r="F5" s="101">
        <v>2.5</v>
      </c>
      <c r="G5" s="102"/>
      <c r="H5" s="103">
        <v>0.5</v>
      </c>
      <c r="I5" s="102"/>
      <c r="J5" s="101" t="s">
        <v>1307</v>
      </c>
      <c r="K5" s="11"/>
    </row>
    <row r="6">
      <c r="A6" s="11"/>
      <c r="B6" s="11"/>
      <c r="C6" s="11"/>
      <c r="D6" s="11"/>
      <c r="E6" s="11"/>
      <c r="F6" s="11"/>
      <c r="G6" s="11"/>
      <c r="H6" s="11"/>
      <c r="I6" s="11"/>
      <c r="J6" s="11"/>
      <c r="K6" s="11"/>
    </row>
    <row r="7">
      <c r="A7" s="11"/>
      <c r="B7" s="11"/>
      <c r="C7" s="11"/>
      <c r="D7" s="11"/>
      <c r="E7" s="11"/>
      <c r="F7" s="11"/>
      <c r="G7" s="11"/>
      <c r="H7" s="11"/>
      <c r="I7" s="11"/>
      <c r="J7" s="11"/>
      <c r="K7" s="11"/>
    </row>
    <row r="8">
      <c r="A8" s="11"/>
      <c r="B8" s="11"/>
      <c r="C8" s="11"/>
      <c r="D8" s="11"/>
      <c r="E8" s="11"/>
      <c r="F8" s="11"/>
      <c r="G8" s="11"/>
      <c r="H8" s="11"/>
      <c r="I8" s="11"/>
      <c r="J8" s="11"/>
      <c r="K8" s="11"/>
    </row>
    <row r="9">
      <c r="A9" s="11"/>
      <c r="B9" s="11"/>
      <c r="C9" s="11"/>
      <c r="D9" s="11"/>
      <c r="E9" s="11"/>
      <c r="F9" s="11"/>
      <c r="G9" s="11"/>
      <c r="H9" s="11"/>
      <c r="I9" s="11"/>
      <c r="J9" s="11"/>
      <c r="K9" s="11"/>
    </row>
    <row r="10">
      <c r="A10" s="11"/>
      <c r="B10" s="12"/>
      <c r="F10" s="11"/>
      <c r="G10" s="11"/>
      <c r="H10" s="11"/>
      <c r="I10" s="11"/>
      <c r="J10" s="11"/>
      <c r="K10" s="11"/>
    </row>
    <row r="11">
      <c r="A11" s="11"/>
      <c r="B11" s="11"/>
      <c r="C11" s="11"/>
      <c r="D11" s="11"/>
      <c r="E11" s="11"/>
      <c r="F11" s="11"/>
      <c r="G11" s="11"/>
      <c r="H11" s="11"/>
      <c r="I11" s="11"/>
      <c r="J11" s="11"/>
      <c r="K11" s="11"/>
    </row>
    <row r="12">
      <c r="A12" s="11"/>
      <c r="B12" s="11"/>
      <c r="C12" s="11"/>
      <c r="D12" s="11"/>
      <c r="E12" s="11"/>
      <c r="F12" s="11"/>
      <c r="G12" s="11"/>
      <c r="H12" s="11"/>
      <c r="I12" s="11"/>
      <c r="J12" s="11"/>
      <c r="K12" s="11"/>
    </row>
    <row r="13">
      <c r="A13" s="11"/>
      <c r="B13" s="11"/>
      <c r="C13" s="11"/>
      <c r="D13" s="11"/>
      <c r="E13" s="11"/>
      <c r="F13" s="11"/>
      <c r="G13" s="11"/>
      <c r="H13" s="11"/>
      <c r="I13" s="11"/>
      <c r="J13" s="11"/>
      <c r="K13" s="11"/>
    </row>
    <row r="14">
      <c r="A14" s="11"/>
      <c r="B14" s="11"/>
      <c r="C14" s="11"/>
      <c r="D14" s="11"/>
      <c r="E14" s="11"/>
      <c r="F14" s="11"/>
      <c r="G14" s="11"/>
      <c r="H14" s="11"/>
      <c r="I14" s="11"/>
      <c r="J14" s="11"/>
      <c r="K14" s="11"/>
    </row>
    <row r="15">
      <c r="A15" s="11"/>
      <c r="B15" s="11"/>
      <c r="C15" s="11"/>
      <c r="D15" s="11"/>
      <c r="E15" s="11"/>
      <c r="F15" s="11"/>
      <c r="G15" s="11"/>
      <c r="H15" s="11"/>
      <c r="I15" s="11"/>
      <c r="J15" s="11"/>
      <c r="K15" s="11"/>
    </row>
    <row r="16">
      <c r="A16" s="11"/>
      <c r="B16" s="11"/>
      <c r="C16" s="11"/>
      <c r="D16" s="11"/>
      <c r="E16" s="11"/>
      <c r="F16" s="11"/>
      <c r="G16" s="11"/>
      <c r="H16" s="11"/>
      <c r="I16" s="11"/>
      <c r="J16" s="11"/>
      <c r="K16" s="11"/>
    </row>
    <row r="17">
      <c r="A17" s="11"/>
      <c r="B17" s="11"/>
      <c r="C17" s="11"/>
      <c r="D17" s="11"/>
      <c r="E17" s="11"/>
      <c r="F17" s="11"/>
      <c r="G17" s="11"/>
      <c r="H17" s="11"/>
      <c r="I17" s="11"/>
      <c r="J17" s="11"/>
      <c r="K17" s="11"/>
    </row>
    <row r="18">
      <c r="A18" s="11"/>
      <c r="B18" s="11"/>
      <c r="C18" s="11"/>
      <c r="D18" s="11"/>
      <c r="E18" s="11"/>
      <c r="F18" s="11"/>
      <c r="G18" s="11"/>
      <c r="H18" s="11"/>
      <c r="I18" s="11"/>
      <c r="J18" s="11"/>
      <c r="K18" s="11"/>
    </row>
    <row r="19">
      <c r="A19" s="11"/>
      <c r="B19" s="11"/>
      <c r="C19" s="11"/>
      <c r="D19" s="11"/>
      <c r="E19" s="11"/>
      <c r="F19" s="11"/>
      <c r="G19" s="11"/>
      <c r="H19" s="11"/>
      <c r="I19" s="11"/>
      <c r="J19" s="11"/>
      <c r="K19" s="11"/>
    </row>
    <row r="20">
      <c r="A20" s="11"/>
      <c r="B20" s="11"/>
      <c r="C20" s="11"/>
      <c r="D20" s="11"/>
      <c r="E20" s="11"/>
      <c r="F20" s="11"/>
      <c r="G20" s="11"/>
      <c r="H20" s="11"/>
      <c r="I20" s="11"/>
      <c r="J20" s="11"/>
      <c r="K20" s="11"/>
    </row>
    <row r="21">
      <c r="A21" s="11"/>
      <c r="B21" s="11"/>
      <c r="C21" s="11"/>
      <c r="D21" s="11"/>
      <c r="E21" s="11"/>
      <c r="F21" s="11"/>
      <c r="G21" s="11"/>
      <c r="H21" s="11"/>
      <c r="I21" s="11"/>
      <c r="J21" s="11"/>
      <c r="K21" s="11"/>
    </row>
    <row r="22">
      <c r="A22" s="11"/>
      <c r="B22" s="11"/>
      <c r="C22" s="11"/>
      <c r="D22" s="11"/>
      <c r="E22" s="11"/>
      <c r="F22" s="11"/>
      <c r="G22" s="11"/>
      <c r="H22" s="11"/>
      <c r="I22" s="11"/>
      <c r="J22" s="11"/>
      <c r="K22" s="11"/>
    </row>
    <row r="23">
      <c r="A23" s="11"/>
      <c r="B23" s="11"/>
      <c r="C23" s="11"/>
      <c r="D23" s="11"/>
      <c r="E23" s="11"/>
      <c r="F23" s="11"/>
      <c r="G23" s="11"/>
      <c r="H23" s="11"/>
      <c r="I23" s="11"/>
      <c r="J23" s="11"/>
      <c r="K23" s="11"/>
    </row>
    <row r="24">
      <c r="A24" s="11"/>
      <c r="B24" s="11"/>
      <c r="C24" s="11"/>
      <c r="D24" s="11"/>
      <c r="E24" s="11"/>
      <c r="F24" s="11"/>
      <c r="G24" s="11"/>
      <c r="H24" s="11"/>
      <c r="I24" s="11"/>
      <c r="J24" s="11"/>
      <c r="K24" s="11"/>
    </row>
    <row r="25">
      <c r="A25" s="11"/>
      <c r="B25" s="11"/>
      <c r="C25" s="11"/>
      <c r="D25" s="11"/>
      <c r="E25" s="11"/>
      <c r="F25" s="11"/>
      <c r="G25" s="11"/>
      <c r="H25" s="11"/>
      <c r="I25" s="11"/>
      <c r="J25" s="11"/>
      <c r="K25" s="11"/>
    </row>
    <row r="26">
      <c r="A26" s="11"/>
      <c r="B26" s="11"/>
      <c r="C26" s="11"/>
      <c r="D26" s="11"/>
      <c r="E26" s="11"/>
      <c r="F26" s="11"/>
      <c r="G26" s="11"/>
      <c r="H26" s="11"/>
      <c r="I26" s="11"/>
      <c r="J26" s="11"/>
      <c r="K26" s="11"/>
    </row>
    <row r="27">
      <c r="A27" s="11"/>
      <c r="B27" s="11"/>
      <c r="C27" s="11"/>
      <c r="D27" s="11"/>
      <c r="E27" s="11"/>
      <c r="F27" s="11"/>
      <c r="G27" s="11"/>
      <c r="H27" s="11"/>
      <c r="I27" s="11"/>
      <c r="J27" s="11"/>
      <c r="K27" s="11"/>
    </row>
    <row r="28">
      <c r="A28" s="11"/>
      <c r="B28" s="11"/>
      <c r="C28" s="11"/>
      <c r="D28" s="11"/>
      <c r="E28" s="11"/>
      <c r="F28" s="11"/>
      <c r="G28" s="11"/>
      <c r="H28" s="11"/>
      <c r="I28" s="11"/>
      <c r="J28" s="11"/>
      <c r="K28" s="11"/>
    </row>
    <row r="29">
      <c r="A29" s="11"/>
      <c r="B29" s="11"/>
      <c r="C29" s="11"/>
      <c r="D29" s="11"/>
      <c r="E29" s="11"/>
      <c r="F29" s="11"/>
      <c r="G29" s="11"/>
      <c r="H29" s="11"/>
      <c r="I29" s="11"/>
      <c r="J29" s="11"/>
      <c r="K29" s="11"/>
    </row>
    <row r="30">
      <c r="A30" s="11"/>
      <c r="B30" s="11"/>
      <c r="C30" s="11"/>
      <c r="D30" s="11"/>
      <c r="E30" s="11"/>
      <c r="F30" s="11"/>
      <c r="G30" s="11"/>
      <c r="H30" s="11"/>
      <c r="I30" s="11"/>
      <c r="J30" s="11"/>
      <c r="K30" s="11"/>
    </row>
    <row r="31">
      <c r="A31" s="11"/>
      <c r="B31" s="11"/>
      <c r="C31" s="11"/>
      <c r="D31" s="11"/>
      <c r="E31" s="11"/>
      <c r="F31" s="11"/>
      <c r="G31" s="11"/>
      <c r="H31" s="11"/>
      <c r="I31" s="11"/>
      <c r="J31" s="11"/>
      <c r="K31" s="11"/>
    </row>
    <row r="32">
      <c r="A32" s="11"/>
      <c r="B32" s="11"/>
      <c r="C32" s="11"/>
      <c r="D32" s="11"/>
      <c r="E32" s="11"/>
      <c r="F32" s="11"/>
      <c r="G32" s="11"/>
      <c r="H32" s="11"/>
      <c r="I32" s="11"/>
      <c r="J32" s="11"/>
      <c r="K32" s="11"/>
    </row>
    <row r="33">
      <c r="A33" s="11"/>
      <c r="B33" s="11"/>
      <c r="C33" s="11"/>
      <c r="D33" s="11"/>
      <c r="E33" s="11"/>
      <c r="F33" s="11"/>
      <c r="G33" s="11"/>
      <c r="H33" s="11"/>
      <c r="I33" s="11"/>
      <c r="J33" s="11"/>
      <c r="K33" s="11"/>
    </row>
    <row r="34">
      <c r="A34" s="11"/>
      <c r="B34" s="11"/>
      <c r="C34" s="11"/>
      <c r="D34" s="11"/>
      <c r="E34" s="11"/>
      <c r="F34" s="11"/>
      <c r="G34" s="11"/>
      <c r="H34" s="11"/>
      <c r="I34" s="11"/>
      <c r="J34" s="11"/>
      <c r="K34" s="11"/>
    </row>
    <row r="35">
      <c r="A35" s="11"/>
      <c r="B35" s="11"/>
      <c r="C35" s="11"/>
      <c r="D35" s="11"/>
      <c r="E35" s="104"/>
      <c r="F35" s="11"/>
      <c r="G35" s="11"/>
      <c r="H35" s="11"/>
      <c r="I35" s="11"/>
      <c r="J35" s="11"/>
      <c r="K35" s="11"/>
    </row>
    <row r="36">
      <c r="A36" s="11"/>
      <c r="B36" s="11"/>
      <c r="C36" s="11"/>
      <c r="D36" s="11"/>
      <c r="E36" s="105"/>
      <c r="F36" s="11"/>
      <c r="G36" s="11"/>
      <c r="H36" s="11"/>
      <c r="I36" s="11"/>
      <c r="J36" s="11"/>
      <c r="K36" s="11"/>
    </row>
    <row r="37">
      <c r="A37" s="11"/>
      <c r="B37" s="11"/>
      <c r="C37" s="11"/>
      <c r="D37" s="11"/>
      <c r="E37" s="105"/>
      <c r="F37" s="11"/>
      <c r="G37" s="11"/>
      <c r="H37" s="11"/>
      <c r="I37" s="11"/>
      <c r="J37" s="11"/>
      <c r="K37" s="11"/>
    </row>
    <row r="38">
      <c r="A38" s="11"/>
      <c r="B38" s="11"/>
      <c r="C38" s="11"/>
      <c r="D38" s="11"/>
      <c r="E38" s="105"/>
      <c r="F38" s="11"/>
      <c r="G38" s="11"/>
      <c r="H38" s="11"/>
      <c r="I38" s="11"/>
      <c r="J38" s="11"/>
      <c r="K38" s="11"/>
    </row>
    <row r="39">
      <c r="A39" s="11"/>
      <c r="B39" s="11"/>
      <c r="C39" s="11"/>
      <c r="D39" s="11"/>
      <c r="E39" s="105"/>
      <c r="F39" s="11"/>
      <c r="G39" s="11"/>
      <c r="H39" s="11"/>
      <c r="I39" s="11"/>
      <c r="J39" s="11"/>
      <c r="K39" s="11"/>
    </row>
    <row r="40">
      <c r="A40" s="11"/>
      <c r="B40" s="11"/>
      <c r="C40" s="11"/>
      <c r="D40" s="11"/>
      <c r="E40" s="11"/>
      <c r="F40" s="11"/>
      <c r="G40" s="11"/>
      <c r="H40" s="11"/>
      <c r="I40" s="11"/>
      <c r="J40" s="11"/>
      <c r="K40" s="11"/>
    </row>
    <row r="41">
      <c r="A41" s="11"/>
      <c r="B41" s="11"/>
      <c r="C41" s="11"/>
      <c r="D41" s="11"/>
      <c r="E41" s="11"/>
      <c r="F41" s="11"/>
      <c r="G41" s="11"/>
      <c r="H41" s="11"/>
      <c r="I41" s="11"/>
      <c r="J41" s="11"/>
      <c r="K41" s="11"/>
    </row>
    <row r="42">
      <c r="A42" s="11"/>
      <c r="B42" s="11"/>
      <c r="C42" s="11"/>
      <c r="D42" s="11"/>
      <c r="E42" s="11"/>
      <c r="F42" s="11"/>
      <c r="G42" s="11"/>
      <c r="H42" s="11"/>
      <c r="I42" s="11"/>
      <c r="J42" s="11"/>
      <c r="K42" s="11"/>
    </row>
    <row r="43">
      <c r="A43" s="11"/>
      <c r="B43" s="11"/>
      <c r="C43" s="11"/>
      <c r="D43" s="11"/>
      <c r="E43" s="11"/>
      <c r="F43" s="11"/>
      <c r="G43" s="11"/>
      <c r="H43" s="11"/>
      <c r="I43" s="11"/>
      <c r="J43" s="11"/>
      <c r="K43" s="11"/>
    </row>
    <row r="44">
      <c r="A44" s="11"/>
      <c r="B44" s="11"/>
      <c r="C44" s="11"/>
      <c r="D44" s="11"/>
      <c r="E44" s="11"/>
      <c r="F44" s="11"/>
      <c r="G44" s="11"/>
      <c r="H44" s="11"/>
      <c r="I44" s="11"/>
      <c r="J44" s="11"/>
      <c r="K44" s="11"/>
    </row>
    <row r="45">
      <c r="A45" s="11"/>
      <c r="B45" s="11"/>
      <c r="C45" s="11"/>
      <c r="D45" s="11"/>
      <c r="E45" s="11"/>
      <c r="F45" s="11"/>
      <c r="G45" s="11"/>
      <c r="H45" s="11"/>
      <c r="I45" s="11"/>
      <c r="J45" s="11"/>
      <c r="K45" s="11"/>
    </row>
    <row r="46">
      <c r="A46" s="11"/>
      <c r="B46" s="11"/>
      <c r="C46" s="11"/>
      <c r="D46" s="11"/>
      <c r="E46" s="11"/>
      <c r="F46" s="11"/>
      <c r="G46" s="11"/>
      <c r="H46" s="11"/>
      <c r="I46" s="11"/>
      <c r="J46" s="11"/>
      <c r="K46" s="11"/>
    </row>
    <row r="47">
      <c r="A47" s="11"/>
      <c r="B47" s="11"/>
      <c r="C47" s="11"/>
      <c r="D47" s="11"/>
      <c r="E47" s="11"/>
      <c r="F47" s="11"/>
      <c r="G47" s="11"/>
      <c r="H47" s="11"/>
      <c r="I47" s="11"/>
      <c r="J47" s="11"/>
      <c r="K47" s="11"/>
    </row>
    <row r="48">
      <c r="A48" s="11"/>
      <c r="B48" s="11"/>
      <c r="C48" s="11"/>
      <c r="D48" s="11"/>
      <c r="E48" s="11"/>
      <c r="F48" s="11"/>
      <c r="G48" s="11"/>
      <c r="H48" s="11"/>
      <c r="I48" s="11"/>
      <c r="J48" s="11"/>
      <c r="K48" s="11"/>
    </row>
    <row r="49">
      <c r="A49" s="11"/>
      <c r="B49" s="11"/>
      <c r="C49" s="11"/>
      <c r="D49" s="11"/>
      <c r="E49" s="11"/>
      <c r="F49" s="11"/>
      <c r="G49" s="11"/>
      <c r="H49" s="11"/>
      <c r="I49" s="11"/>
      <c r="J49" s="11"/>
      <c r="K49" s="11"/>
    </row>
    <row r="50">
      <c r="A50" s="11"/>
      <c r="B50" s="11"/>
      <c r="C50" s="11"/>
      <c r="D50" s="11"/>
      <c r="E50" s="11"/>
      <c r="F50" s="11"/>
      <c r="G50" s="11"/>
      <c r="H50" s="11"/>
      <c r="I50" s="11"/>
      <c r="J50" s="11"/>
      <c r="K50" s="11"/>
    </row>
    <row r="51">
      <c r="A51" s="11"/>
      <c r="B51" s="11"/>
      <c r="C51" s="11"/>
      <c r="D51" s="11"/>
      <c r="E51" s="11"/>
      <c r="F51" s="11"/>
      <c r="G51" s="11"/>
      <c r="H51" s="11"/>
      <c r="I51" s="11"/>
      <c r="J51" s="11"/>
      <c r="K51" s="11"/>
    </row>
    <row r="52">
      <c r="A52" s="11"/>
      <c r="B52" s="11"/>
      <c r="C52" s="11"/>
      <c r="D52" s="11"/>
      <c r="E52" s="11"/>
      <c r="F52" s="11"/>
      <c r="G52" s="11"/>
      <c r="H52" s="11"/>
      <c r="I52" s="11"/>
      <c r="J52" s="11"/>
      <c r="K52" s="11"/>
    </row>
    <row r="53">
      <c r="A53" s="11"/>
      <c r="B53" s="11"/>
      <c r="C53" s="11"/>
      <c r="D53" s="11"/>
      <c r="E53" s="11"/>
      <c r="F53" s="11"/>
      <c r="G53" s="11"/>
      <c r="H53" s="11"/>
      <c r="I53" s="11"/>
      <c r="J53" s="11"/>
      <c r="K53" s="11"/>
    </row>
    <row r="54">
      <c r="A54" s="11"/>
      <c r="B54" s="11"/>
      <c r="C54" s="11"/>
      <c r="D54" s="11"/>
      <c r="E54" s="11"/>
      <c r="F54" s="11"/>
      <c r="G54" s="11"/>
      <c r="H54" s="11"/>
      <c r="I54" s="11"/>
      <c r="J54" s="11"/>
      <c r="K54" s="11"/>
    </row>
    <row r="55">
      <c r="A55" s="11"/>
      <c r="B55" s="11"/>
      <c r="C55" s="11"/>
      <c r="D55" s="11"/>
      <c r="E55" s="11"/>
      <c r="F55" s="11"/>
      <c r="G55" s="11"/>
      <c r="H55" s="11"/>
      <c r="I55" s="11"/>
      <c r="J55" s="11"/>
      <c r="K55" s="11"/>
    </row>
    <row r="56">
      <c r="A56" s="11"/>
      <c r="B56" s="11"/>
      <c r="C56" s="11"/>
      <c r="D56" s="11"/>
      <c r="E56" s="11"/>
      <c r="F56" s="11"/>
      <c r="G56" s="11"/>
      <c r="H56" s="11"/>
      <c r="I56" s="11"/>
      <c r="J56" s="11"/>
      <c r="K56" s="11"/>
    </row>
    <row r="57">
      <c r="A57" s="11"/>
      <c r="B57" s="11"/>
      <c r="C57" s="11"/>
      <c r="D57" s="11"/>
      <c r="E57" s="11"/>
      <c r="F57" s="11"/>
      <c r="G57" s="11"/>
      <c r="H57" s="11"/>
      <c r="I57" s="11"/>
      <c r="J57" s="11"/>
      <c r="K57" s="11"/>
    </row>
    <row r="58">
      <c r="A58" s="11"/>
      <c r="B58" s="11"/>
      <c r="C58" s="11"/>
      <c r="D58" s="11"/>
      <c r="E58" s="11"/>
      <c r="F58" s="11"/>
      <c r="G58" s="11"/>
      <c r="H58" s="11"/>
      <c r="I58" s="11"/>
      <c r="J58" s="11"/>
      <c r="K58" s="11"/>
    </row>
    <row r="59">
      <c r="A59" s="11"/>
      <c r="B59" s="11"/>
      <c r="C59" s="11"/>
      <c r="D59" s="11"/>
      <c r="E59" s="11"/>
      <c r="F59" s="11"/>
      <c r="G59" s="11"/>
      <c r="H59" s="11"/>
      <c r="I59" s="11"/>
      <c r="J59" s="11"/>
      <c r="K59" s="11"/>
    </row>
    <row r="60">
      <c r="A60" s="11"/>
      <c r="B60" s="11"/>
      <c r="C60" s="11"/>
      <c r="D60" s="11"/>
      <c r="E60" s="11"/>
      <c r="F60" s="11"/>
      <c r="G60" s="11"/>
      <c r="H60" s="11"/>
      <c r="I60" s="11"/>
      <c r="J60" s="11"/>
      <c r="K60" s="11"/>
    </row>
  </sheetData>
  <mergeCells count="2">
    <mergeCell ref="C1:I1"/>
    <mergeCell ref="B10:E10"/>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 customWidth="1" min="2" max="2" width="50.75"/>
    <col customWidth="1" min="5" max="5" width="12.13"/>
  </cols>
  <sheetData>
    <row r="1">
      <c r="A1" s="91" t="s">
        <v>1308</v>
      </c>
      <c r="B1" s="91" t="s">
        <v>1309</v>
      </c>
    </row>
    <row r="2">
      <c r="A2" s="9" t="s">
        <v>1310</v>
      </c>
      <c r="B2" s="93" t="s">
        <v>1311</v>
      </c>
      <c r="E2" s="9"/>
    </row>
    <row r="3">
      <c r="A3" s="9" t="s">
        <v>1312</v>
      </c>
      <c r="B3" s="93" t="s">
        <v>1313</v>
      </c>
      <c r="E3" s="106"/>
      <c r="F3" s="106"/>
      <c r="G3" s="106"/>
      <c r="H3" s="106"/>
    </row>
    <row r="4">
      <c r="A4" s="9" t="s">
        <v>1314</v>
      </c>
      <c r="B4" s="93" t="s">
        <v>1315</v>
      </c>
      <c r="E4" s="9"/>
      <c r="F4" s="9"/>
      <c r="G4" s="9"/>
      <c r="H4" s="9"/>
    </row>
    <row r="5">
      <c r="A5" s="9" t="s">
        <v>1316</v>
      </c>
      <c r="B5" s="93" t="s">
        <v>1317</v>
      </c>
      <c r="E5" s="9"/>
      <c r="F5" s="9"/>
      <c r="G5" s="9"/>
      <c r="H5" s="9"/>
    </row>
    <row r="6">
      <c r="A6" s="9" t="s">
        <v>1318</v>
      </c>
      <c r="B6" s="93" t="s">
        <v>1319</v>
      </c>
      <c r="E6" s="9"/>
      <c r="F6" s="9"/>
      <c r="G6" s="9"/>
      <c r="H6" s="9"/>
    </row>
    <row r="7">
      <c r="A7" s="15"/>
      <c r="B7" s="107"/>
      <c r="E7" s="9"/>
      <c r="F7" s="9"/>
      <c r="G7" s="9"/>
      <c r="H7" s="9"/>
    </row>
    <row r="8">
      <c r="B8" s="94"/>
      <c r="E8" s="9"/>
      <c r="F8" s="9"/>
      <c r="G8" s="9"/>
      <c r="H8" s="9"/>
    </row>
    <row r="9">
      <c r="B9" s="94"/>
      <c r="E9" s="9"/>
      <c r="F9" s="9"/>
      <c r="G9" s="9"/>
      <c r="H9" s="9"/>
    </row>
    <row r="10">
      <c r="B10" s="94"/>
      <c r="E10" s="9"/>
      <c r="F10" s="9"/>
      <c r="G10" s="9"/>
      <c r="H10" s="9"/>
    </row>
    <row r="11">
      <c r="B11" s="94"/>
      <c r="E11" s="9"/>
      <c r="F11" s="9"/>
      <c r="G11" s="9"/>
      <c r="H11" s="9"/>
    </row>
  </sheetData>
  <drawing r:id="rId1"/>
</worksheet>
</file>